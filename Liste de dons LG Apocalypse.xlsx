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filterPrivacy="1" hidePivotFieldList="1"/>
  <xr:revisionPtr revIDLastSave="0" documentId="10_ncr:100000_{8C6A5C60-E91F-490D-BB15-FED2150B4114}" xr6:coauthVersionLast="31" xr6:coauthVersionMax="43" xr10:uidLastSave="{00000000-0000-0000-0000-000000000000}"/>
  <bookViews>
    <workbookView xWindow="-105" yWindow="-105" windowWidth="20715" windowHeight="13275" activeTab="1" xr2:uid="{00000000-000D-0000-FFFF-FFFF00000000}"/>
  </bookViews>
  <sheets>
    <sheet name="Repartition thèmes par liste" sheetId="3" r:id="rId1"/>
    <sheet name="Dons d'origine" sheetId="1" r:id="rId2"/>
    <sheet name="Listes par type" sheetId="2" r:id="rId3"/>
  </sheets>
  <definedNames>
    <definedName name="_xlnm._FilterDatabase" localSheetId="1" hidden="1">'Dons d''origine'!$A$1:$K$422</definedName>
    <definedName name="_xlnm._FilterDatabase" localSheetId="2" hidden="1">'Listes par type'!$A$1:$D$22</definedName>
  </definedNames>
  <calcPr calcId="179017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8" i="1" l="1"/>
  <c r="F54" i="1" l="1"/>
  <c r="F407" i="1" l="1"/>
  <c r="F422" i="1" l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7" i="1"/>
  <c r="F256" i="1"/>
  <c r="F255" i="1"/>
  <c r="F254" i="1"/>
  <c r="F253" i="1"/>
  <c r="F252" i="1"/>
  <c r="F251" i="1"/>
  <c r="F250" i="1"/>
  <c r="F249" i="1"/>
  <c r="F248" i="1"/>
  <c r="F24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" i="1"/>
</calcChain>
</file>

<file path=xl/sharedStrings.xml><?xml version="1.0" encoding="utf-8"?>
<sst xmlns="http://schemas.openxmlformats.org/spreadsheetml/2006/main" count="3370" uniqueCount="872">
  <si>
    <t>Liste</t>
  </si>
  <si>
    <t>Niveau</t>
  </si>
  <si>
    <t>Nom</t>
  </si>
  <si>
    <t>Hominidé</t>
  </si>
  <si>
    <t>Loup des villes</t>
  </si>
  <si>
    <t>Maître du feu</t>
  </si>
  <si>
    <t>Odeur humaine</t>
  </si>
  <si>
    <t>Persuasion</t>
  </si>
  <si>
    <t>Détraquage</t>
  </si>
  <si>
    <t>Langage du monde</t>
  </si>
  <si>
    <t>Marque du loup</t>
  </si>
  <si>
    <t>Calmer la bête sauvage</t>
  </si>
  <si>
    <t>Remodeler un objet</t>
  </si>
  <si>
    <t>Repousser les balles</t>
  </si>
  <si>
    <t>Trouble</t>
  </si>
  <si>
    <t>Adaptation corporelle</t>
  </si>
  <si>
    <t>Cocon</t>
  </si>
  <si>
    <t>Refouler le loup</t>
  </si>
  <si>
    <t>Assimilation</t>
  </si>
  <si>
    <t>Ecarter le Voile</t>
  </si>
  <si>
    <t>Plus qu'humain</t>
  </si>
  <si>
    <t>Métis</t>
  </si>
  <si>
    <t>Colère primitive</t>
  </si>
  <si>
    <t>Création élémentaire</t>
  </si>
  <si>
    <t>Face de rat</t>
  </si>
  <si>
    <t>Mue</t>
  </si>
  <si>
    <t>Fouisseur</t>
  </si>
  <si>
    <t>Maîtrise des formes</t>
  </si>
  <si>
    <t>Malédiction haineuse</t>
  </si>
  <si>
    <t>Sentir l'argent</t>
  </si>
  <si>
    <t>Caméléon</t>
  </si>
  <si>
    <t>Isolation</t>
  </si>
  <si>
    <t>Télépathie</t>
  </si>
  <si>
    <t>Yeux de chat</t>
  </si>
  <si>
    <t>Bénédiction du porc-épic</t>
  </si>
  <si>
    <t>Déchaînement de rage</t>
  </si>
  <si>
    <t>Flétrissure d'un membre</t>
  </si>
  <si>
    <t>Morsure du serpent à sonnette</t>
  </si>
  <si>
    <t>Bénédiction de Protée</t>
  </si>
  <si>
    <t>Bénédiction du Totem</t>
  </si>
  <si>
    <t>Folie</t>
  </si>
  <si>
    <t>Lupus</t>
  </si>
  <si>
    <t>Arsenal du prédateur</t>
  </si>
  <si>
    <t>Bond de lièvre</t>
  </si>
  <si>
    <t>Esprit de la proie</t>
  </si>
  <si>
    <t>Sens accrus</t>
  </si>
  <si>
    <t>Sentir la proie</t>
  </si>
  <si>
    <t>Axis Mundi</t>
  </si>
  <si>
    <t>Nommer l'esprit</t>
  </si>
  <si>
    <t>Œil de l'aigle</t>
  </si>
  <si>
    <t>Vision olfactive</t>
  </si>
  <si>
    <t>Faire taire la Tisseuse</t>
  </si>
  <si>
    <t>Force de Gaïa</t>
  </si>
  <si>
    <t>Pattes de chat</t>
  </si>
  <si>
    <t>Queue de singe</t>
  </si>
  <si>
    <t>Cri de Gaïa</t>
  </si>
  <si>
    <t>Ronger</t>
  </si>
  <si>
    <t>Terreur du Grand Loup</t>
  </si>
  <si>
    <t>Vie animale</t>
  </si>
  <si>
    <t>Bénédiction des éléments</t>
  </si>
  <si>
    <t>Chant de la grande bête</t>
  </si>
  <si>
    <t>Ragabash</t>
  </si>
  <si>
    <t>Odeur de l'eau vive</t>
  </si>
  <si>
    <t>Ouverture du sceau</t>
  </si>
  <si>
    <t>Rire contagieux</t>
  </si>
  <si>
    <t>Trouble de l'œil laiteux</t>
  </si>
  <si>
    <t>Chant de l'araignée</t>
  </si>
  <si>
    <t>Ignorance bénie</t>
  </si>
  <si>
    <t>Pouls de la proie</t>
  </si>
  <si>
    <t>Vol de l'oublié</t>
  </si>
  <si>
    <t>Art du menteur</t>
  </si>
  <si>
    <t>Eclaireur</t>
  </si>
  <si>
    <t>Gremlins</t>
  </si>
  <si>
    <t>Ouvrir un pont de lune</t>
  </si>
  <si>
    <t>Bénédiction de Luna</t>
  </si>
  <si>
    <t>Corps d'avorton</t>
  </si>
  <si>
    <t>Esquive Umbrale</t>
  </si>
  <si>
    <t>Mille formes</t>
  </si>
  <si>
    <t>Pie voleuse</t>
  </si>
  <si>
    <t>Bénédiction de Prométhée</t>
  </si>
  <si>
    <t>Théurge</t>
  </si>
  <si>
    <t>Filin umbral</t>
  </si>
  <si>
    <t>Thème</t>
  </si>
  <si>
    <t>Unique</t>
  </si>
  <si>
    <t>Ingéniosité des primates</t>
  </si>
  <si>
    <t>Langage des esprits</t>
  </si>
  <si>
    <t>Piège spirituel</t>
  </si>
  <si>
    <t>Sentir le Ver</t>
  </si>
  <si>
    <t>Toucher de la Mère</t>
  </si>
  <si>
    <t>Commander aux esprits</t>
  </si>
  <si>
    <t>Mandala de bataille</t>
  </si>
  <si>
    <t>Vision d'au-delà</t>
  </si>
  <si>
    <t>Camouflage umbral</t>
  </si>
  <si>
    <t>Exorcisme</t>
  </si>
  <si>
    <t>Navigateur de la toile</t>
  </si>
  <si>
    <t>Pouls de l'invisible</t>
  </si>
  <si>
    <t>Drain d'esprit</t>
  </si>
  <si>
    <t>Saisir l'intangible</t>
  </si>
  <si>
    <t>Troubler le miroir</t>
  </si>
  <si>
    <t>Esprit malléable</t>
  </si>
  <si>
    <t>Lobotomie bestiale</t>
  </si>
  <si>
    <t>Argument ultime de la logique</t>
  </si>
  <si>
    <t>Tel qu'au commencement</t>
  </si>
  <si>
    <t>Philodox</t>
  </si>
  <si>
    <t>Crocs du jugement</t>
  </si>
  <si>
    <t>Odeur de la vraie forme</t>
  </si>
  <si>
    <t>Résistance à la douleur</t>
  </si>
  <si>
    <t>Vérité de Gaïa</t>
  </si>
  <si>
    <t>Appel du devoir</t>
  </si>
  <si>
    <t>Commander à l'assemblée</t>
  </si>
  <si>
    <t>Détermination</t>
  </si>
  <si>
    <t>Roi des animaux</t>
  </si>
  <si>
    <t>Odeur du parjure</t>
  </si>
  <si>
    <t>Point faible</t>
  </si>
  <si>
    <t>Sagesse des voies ancestrales</t>
  </si>
  <si>
    <t>Sentir l'équilibre</t>
  </si>
  <si>
    <t>Couché!</t>
  </si>
  <si>
    <t>Imposer la vraie forme</t>
  </si>
  <si>
    <t>Odeur de l'ailleurs</t>
  </si>
  <si>
    <t>Mur de granit</t>
  </si>
  <si>
    <t>Briser les chaînes</t>
  </si>
  <si>
    <t>Geas</t>
  </si>
  <si>
    <t>Galliard</t>
  </si>
  <si>
    <t>Appel du Kaos</t>
  </si>
  <si>
    <t>Langage animal</t>
  </si>
  <si>
    <t>Mémoire parfaite</t>
  </si>
  <si>
    <t>Parlesprit</t>
  </si>
  <si>
    <t>Appel du Ver</t>
  </si>
  <si>
    <t>Distractions</t>
  </si>
  <si>
    <t>Hurlements dans la nuit</t>
  </si>
  <si>
    <t>Parlerêve</t>
  </si>
  <si>
    <t>Chant de la sirène</t>
  </si>
  <si>
    <t>Chant de rage</t>
  </si>
  <si>
    <t>Chant des héros</t>
  </si>
  <si>
    <t>Œil de cobra</t>
  </si>
  <si>
    <t>Bénédiction de Morphée</t>
  </si>
  <si>
    <t>Passeur de ponts</t>
  </si>
  <si>
    <t>Thêatre d'ombres</t>
  </si>
  <si>
    <t>Fruits de l'imagination</t>
  </si>
  <si>
    <t>Psychomanipulation</t>
  </si>
  <si>
    <t>Ahroun</t>
  </si>
  <si>
    <t>Dards</t>
  </si>
  <si>
    <t>Griffes acérées</t>
  </si>
  <si>
    <t>Inspiration</t>
  </si>
  <si>
    <t>Mise au sol</t>
  </si>
  <si>
    <t>Tactiques de meute</t>
  </si>
  <si>
    <t>Bouclier de Rage</t>
  </si>
  <si>
    <t>Esprit de la mêlée</t>
  </si>
  <si>
    <t>Vraie peur</t>
  </si>
  <si>
    <t>Cœur de fureur</t>
  </si>
  <si>
    <t>Griffes d'argent</t>
  </si>
  <si>
    <t>Griffes du vent</t>
  </si>
  <si>
    <t>Soins de bataille</t>
  </si>
  <si>
    <t>Attiser le braiser de la fureur</t>
  </si>
  <si>
    <t>Lumière de pleine lune</t>
  </si>
  <si>
    <t>Mâchoire de fer</t>
  </si>
  <si>
    <t>Baiser d'Hélios</t>
  </si>
  <si>
    <t>Force de la volonté</t>
  </si>
  <si>
    <t>Guerrier implacable</t>
  </si>
  <si>
    <t>Type de liste</t>
  </si>
  <si>
    <t>Race</t>
  </si>
  <si>
    <t>Auspice</t>
  </si>
  <si>
    <t>Tribu</t>
  </si>
  <si>
    <t>Arpenteurs Silencieux</t>
  </si>
  <si>
    <t>Guide céleste</t>
  </si>
  <si>
    <t>Silence</t>
  </si>
  <si>
    <t>Visions de Duat</t>
  </si>
  <si>
    <t>Vitesse de la pensée</t>
  </si>
  <si>
    <t>Endurance du messager</t>
  </si>
  <si>
    <t>Marcher sur le dos de Sebek</t>
  </si>
  <si>
    <t>Adaptation</t>
  </si>
  <si>
    <t>Grand bond</t>
  </si>
  <si>
    <t>Marque du loup funèbre</t>
  </si>
  <si>
    <t>Endiguer la rivière de sang</t>
  </si>
  <si>
    <t>Marque noire</t>
  </si>
  <si>
    <t>Plus rapide que la pensée</t>
  </si>
  <si>
    <t>Syntonie</t>
  </si>
  <si>
    <t>Atteindre l'Umbra</t>
  </si>
  <si>
    <t>Porte de la Lune</t>
  </si>
  <si>
    <t>Astrôlatres</t>
  </si>
  <si>
    <t>Canalisation</t>
  </si>
  <si>
    <t>Equilibre</t>
  </si>
  <si>
    <t>Résolution de fer</t>
  </si>
  <si>
    <t>Force intérieure</t>
  </si>
  <si>
    <t>Lumière intérieure</t>
  </si>
  <si>
    <t>Resister à la tentation</t>
  </si>
  <si>
    <t>Syntonie de surface</t>
  </si>
  <si>
    <t>Wuxing</t>
  </si>
  <si>
    <t>Clarté</t>
  </si>
  <si>
    <t>Coup charitable</t>
  </si>
  <si>
    <t>Faveur du vent qui tourne</t>
  </si>
  <si>
    <t>Blocage mental</t>
  </si>
  <si>
    <t>Frappe dans le Vide</t>
  </si>
  <si>
    <t>Intuition surnaturelle</t>
  </si>
  <si>
    <t>Attaque circulaire</t>
  </si>
  <si>
    <t>Sagesse du devin</t>
  </si>
  <si>
    <t>Unité harmonieuse de la mère d'émeraude</t>
  </si>
  <si>
    <t>Crocs d'Argent</t>
  </si>
  <si>
    <t>Flamme Chatoyante</t>
  </si>
  <si>
    <t>Œil du faucon</t>
  </si>
  <si>
    <t>Poigne du faucon</t>
  </si>
  <si>
    <t>Armure de Luna</t>
  </si>
  <si>
    <t>Empathie</t>
  </si>
  <si>
    <t>Main-lame</t>
  </si>
  <si>
    <t>Unité de la meute</t>
  </si>
  <si>
    <t>Colère de Gaïa</t>
  </si>
  <si>
    <t>Lame brûlante</t>
  </si>
  <si>
    <t>Serres du faucon</t>
  </si>
  <si>
    <t>Esquiver la Mort</t>
  </si>
  <si>
    <t>Maîtrise</t>
  </si>
  <si>
    <t>Pattes du nouveau-né</t>
  </si>
  <si>
    <t>Vengeur de Luna</t>
  </si>
  <si>
    <t>Renouveler le cycle</t>
  </si>
  <si>
    <t>Enfants de Gaïa</t>
  </si>
  <si>
    <t>Enrayer</t>
  </si>
  <si>
    <t>Odeur fraternelle</t>
  </si>
  <si>
    <t>Pitié</t>
  </si>
  <si>
    <t>Arsenal de la Licorne</t>
  </si>
  <si>
    <t>Calme</t>
  </si>
  <si>
    <t>Para bellum</t>
  </si>
  <si>
    <t>Toucher de la Grand-Mère</t>
  </si>
  <si>
    <t>Ami des esprits</t>
  </si>
  <si>
    <t>Guérison</t>
  </si>
  <si>
    <t>Eblouir</t>
  </si>
  <si>
    <t>Toucher de l'amant</t>
  </si>
  <si>
    <t>Libre depuis le premier matin</t>
  </si>
  <si>
    <t>Sérénité</t>
  </si>
  <si>
    <t>Bois vivant</t>
  </si>
  <si>
    <t>Halo solaire</t>
  </si>
  <si>
    <t>Fianna</t>
  </si>
  <si>
    <t>Deux voix</t>
  </si>
  <si>
    <t>Lumière des fées</t>
  </si>
  <si>
    <t>Résistance aux toxines</t>
  </si>
  <si>
    <t>Dance de la flamme</t>
  </si>
  <si>
    <t>Hurlement de la banshee</t>
  </si>
  <si>
    <t>Hurlement de l'invisible</t>
  </si>
  <si>
    <t>Paroles désinvoltes</t>
  </si>
  <si>
    <t>Bonne fortune</t>
  </si>
  <si>
    <t>Frères féeriques</t>
  </si>
  <si>
    <t>Lignes telluriques</t>
  </si>
  <si>
    <t>Regard de Balor</t>
  </si>
  <si>
    <t>Appeler la chasse</t>
  </si>
  <si>
    <t>Brouillard sur la lande</t>
  </si>
  <si>
    <t>Faveur du spriggan</t>
  </si>
  <si>
    <t>Fils de Fenrir</t>
  </si>
  <si>
    <t>Réflexes foudroyants</t>
  </si>
  <si>
    <t>Visage de Fenrir</t>
  </si>
  <si>
    <t>Crocs du Nord</t>
  </si>
  <si>
    <t>Empêcher la fuite du lâche</t>
  </si>
  <si>
    <t>Grondement du prédateur</t>
  </si>
  <si>
    <t>Peau de troll</t>
  </si>
  <si>
    <t>Puissance de Thor</t>
  </si>
  <si>
    <t>Rediriger la douleur</t>
  </si>
  <si>
    <t>Sang venimeux</t>
  </si>
  <si>
    <t>Cœur de la montagne</t>
  </si>
  <si>
    <t>Héros inébranlable</t>
  </si>
  <si>
    <t>Endurance de Heimdall</t>
  </si>
  <si>
    <t>Horde du Valhalla</t>
  </si>
  <si>
    <t>Morsure de Fenrir</t>
  </si>
  <si>
    <t>Appel au Grand Fenrir</t>
  </si>
  <si>
    <t>Furies Noires</t>
  </si>
  <si>
    <t>Peau d'homme</t>
  </si>
  <si>
    <t>Renaissance du Kaos</t>
  </si>
  <si>
    <t>Souffle du Kaos</t>
  </si>
  <si>
    <t>A genoux</t>
  </si>
  <si>
    <t>Langue de Kali</t>
  </si>
  <si>
    <t>Malédiction d'Eole</t>
  </si>
  <si>
    <t>Agonie viscérale</t>
  </si>
  <si>
    <t>Ailes de Pégase</t>
  </si>
  <si>
    <t>Coup de grâce</t>
  </si>
  <si>
    <t>Griffe fouisseuse</t>
  </si>
  <si>
    <t>Griffes de guêpe</t>
  </si>
  <si>
    <t>Supplice</t>
  </si>
  <si>
    <t>Regarde la Gorgone</t>
  </si>
  <si>
    <t>Tourbillon du Kaos</t>
  </si>
  <si>
    <t>Griffes Rouges</t>
  </si>
  <si>
    <t>Langage des animaux</t>
  </si>
  <si>
    <t>Loup à la porte</t>
  </si>
  <si>
    <t>Œil du chasseur</t>
  </si>
  <si>
    <t>Tueur caché</t>
  </si>
  <si>
    <t>Esprit animal</t>
  </si>
  <si>
    <t>Ombres de l'Impergium</t>
  </si>
  <si>
    <t>Décomposer</t>
  </si>
  <si>
    <t>Désolation perdue</t>
  </si>
  <si>
    <t>Faveur élémentaire</t>
  </si>
  <si>
    <t>Territoire</t>
  </si>
  <si>
    <t>Gavage</t>
  </si>
  <si>
    <t>Hurlement mortel</t>
  </si>
  <si>
    <t>Sables mouvants</t>
  </si>
  <si>
    <t>Malédiction de l'arpenteur d'escarre</t>
  </si>
  <si>
    <t>Malédiction de Lycaon</t>
  </si>
  <si>
    <t>Vengeance de Gaïa</t>
  </si>
  <si>
    <t>Bouclier de Gaïa</t>
  </si>
  <si>
    <t>Marcheurs sur Verre</t>
  </si>
  <si>
    <t>As de la gâchette</t>
  </si>
  <si>
    <t>Contrôle des machines simples</t>
  </si>
  <si>
    <t>Technologie</t>
  </si>
  <si>
    <t>Diagnostiques</t>
  </si>
  <si>
    <t>Domination</t>
  </si>
  <si>
    <t>Plug and Play</t>
  </si>
  <si>
    <t>Cybersens</t>
  </si>
  <si>
    <t>Fourrure d'acier</t>
  </si>
  <si>
    <t>Mains pleines de tonerre</t>
  </si>
  <si>
    <t>Surtension</t>
  </si>
  <si>
    <t>Contrôle des machines complexes</t>
  </si>
  <si>
    <t>Armes à feu</t>
  </si>
  <si>
    <t>Electrochoc</t>
  </si>
  <si>
    <t>Intrusion</t>
  </si>
  <si>
    <t>Chevaucheur du signal</t>
  </si>
  <si>
    <t>Dopplegänger</t>
  </si>
  <si>
    <t>Technoparole</t>
  </si>
  <si>
    <t>Elements</t>
  </si>
  <si>
    <t>Invocation d'Araignée du réseau</t>
  </si>
  <si>
    <t>Mécanique du Kaos</t>
  </si>
  <si>
    <t>Rongeurs d'Os</t>
  </si>
  <si>
    <t>Cuisine</t>
  </si>
  <si>
    <t>Survie</t>
  </si>
  <si>
    <t>Force du désespoir</t>
  </si>
  <si>
    <t>Odeur mielleuse</t>
  </si>
  <si>
    <t>Récupérateur</t>
  </si>
  <si>
    <t>Arôme ignoble</t>
  </si>
  <si>
    <t>Entre les fissures</t>
  </si>
  <si>
    <t>Férocité du rat acculé</t>
  </si>
  <si>
    <t>Masque du Molosse</t>
  </si>
  <si>
    <t>Appeler la rouille</t>
  </si>
  <si>
    <t>Bénédiction du putois</t>
  </si>
  <si>
    <t>Bénédiction du termite</t>
  </si>
  <si>
    <t>Rire de la hyène</t>
  </si>
  <si>
    <t>En un clin d'œil</t>
  </si>
  <si>
    <t>Infestation</t>
  </si>
  <si>
    <t>Emeute</t>
  </si>
  <si>
    <t>Survivant</t>
  </si>
  <si>
    <t>Seigneurs de l'Ombre</t>
  </si>
  <si>
    <t>Attrape-murmures</t>
  </si>
  <si>
    <t>Aura de confiance</t>
  </si>
  <si>
    <t>Défaut fatal</t>
  </si>
  <si>
    <t>Saisir l'avantage</t>
  </si>
  <si>
    <t>Tissage des ombres</t>
  </si>
  <si>
    <t>Chant de la Terre Mère</t>
  </si>
  <si>
    <t>Coup de tonnerre</t>
  </si>
  <si>
    <t>Froide voix de la raison</t>
  </si>
  <si>
    <t>Condamné au peloton</t>
  </si>
  <si>
    <t>Diriger la tempête</t>
  </si>
  <si>
    <t>Frisson glacé du désespoir</t>
  </si>
  <si>
    <t>Regard paralysant</t>
  </si>
  <si>
    <t>Trancher l'ombre</t>
  </si>
  <si>
    <t>Blessures ouvertes</t>
  </si>
  <si>
    <t>Force du dominant</t>
  </si>
  <si>
    <t>Longue peine</t>
  </si>
  <si>
    <t>Meute d'ombre</t>
  </si>
  <si>
    <t>Obéissance</t>
  </si>
  <si>
    <t>Uktena</t>
  </si>
  <si>
    <t>Esprit du lézard</t>
  </si>
  <si>
    <t>Linceul</t>
  </si>
  <si>
    <t>Sentir la Magie</t>
  </si>
  <si>
    <t>Appel du fétiche</t>
  </si>
  <si>
    <t>Esprit de l'oiseau</t>
  </si>
  <si>
    <t>Esprit du poisson</t>
  </si>
  <si>
    <t>Invocation du constrictor</t>
  </si>
  <si>
    <t>Ombres à l'aube</t>
  </si>
  <si>
    <t>Bannissement de totem</t>
  </si>
  <si>
    <t>Chaînes brumeuses</t>
  </si>
  <si>
    <t>Divination</t>
  </si>
  <si>
    <t>Invisibilité</t>
  </si>
  <si>
    <t>Négation</t>
  </si>
  <si>
    <t>Invocation élémentaire</t>
  </si>
  <si>
    <t>Main des seigneurs de la Terre</t>
  </si>
  <si>
    <t>Poupée fétiche</t>
  </si>
  <si>
    <t>Wendigo</t>
  </si>
  <si>
    <t>Appel de la Brise</t>
  </si>
  <si>
    <t>Battement du cœur-tambour</t>
  </si>
  <si>
    <t>Echo de la glace</t>
  </si>
  <si>
    <t>Nage du saumon</t>
  </si>
  <si>
    <t>Parler aux esprits du vent</t>
  </si>
  <si>
    <t>Vent tranchant</t>
  </si>
  <si>
    <t>Coureur céleste</t>
  </si>
  <si>
    <t>Festin sanglant</t>
  </si>
  <si>
    <t>Sang du Nord</t>
  </si>
  <si>
    <t>Appel de l'esprit cannibale</t>
  </si>
  <si>
    <t>Frisson des premières neiges</t>
  </si>
  <si>
    <t>Invoquer les esprits de la tempête</t>
  </si>
  <si>
    <t>Cœur de glace</t>
  </si>
  <si>
    <t>Description courte</t>
  </si>
  <si>
    <t>Coût</t>
  </si>
  <si>
    <t>Durée</t>
  </si>
  <si>
    <t>Jet</t>
  </si>
  <si>
    <t>Le feu fait des dégâts contondants au LG</t>
  </si>
  <si>
    <t>n/a</t>
  </si>
  <si>
    <t>1 scène</t>
  </si>
  <si>
    <t>Résistance</t>
  </si>
  <si>
    <t>N/A</t>
  </si>
  <si>
    <t>Diminution de la difficulté des jets sociaux</t>
  </si>
  <si>
    <t>2 tours par réussite</t>
  </si>
  <si>
    <t>Les objets technologiques cessent de fonctionner</t>
  </si>
  <si>
    <t>Parle toutes les langues</t>
  </si>
  <si>
    <t>Social</t>
  </si>
  <si>
    <t>1 V</t>
  </si>
  <si>
    <t>Calme un LG en frénesie</t>
  </si>
  <si>
    <t>instantané</t>
  </si>
  <si>
    <t>Transformation</t>
  </si>
  <si>
    <t>Change la forme d'un objet mort, jadis vivant</t>
  </si>
  <si>
    <t>1 scène par réussite</t>
  </si>
  <si>
    <t>Métamorphose</t>
  </si>
  <si>
    <t>Redistribution d'Attributs Physiques</t>
  </si>
  <si>
    <t>Vigueur + Instinct Primal</t>
  </si>
  <si>
    <t>Protection contre les esprits</t>
  </si>
  <si>
    <t>Fais perdre de l'Essence aux esprits proches</t>
  </si>
  <si>
    <t>Shamanisme</t>
  </si>
  <si>
    <t>Le LG peut sentir les manifestations du Ver à proximité de lui</t>
  </si>
  <si>
    <t>Perception + Occultisme</t>
  </si>
  <si>
    <t>Facilite la métamorphose</t>
  </si>
  <si>
    <t>permanent</t>
  </si>
  <si>
    <t>Perception</t>
  </si>
  <si>
    <t>Permet de sentir la présence d'argent</t>
  </si>
  <si>
    <t>Perception + Intuition</t>
  </si>
  <si>
    <t>Force?</t>
  </si>
  <si>
    <t>Permet de faire des sauts impossibles</t>
  </si>
  <si>
    <t>Diminue la difficulté des jets de Perception</t>
  </si>
  <si>
    <t>Permet d'avoir des infos basiques sur un esprit</t>
  </si>
  <si>
    <t>La queue du LG lui permet de prendre des trucs</t>
  </si>
  <si>
    <t>Dextérité + Athlétisme</t>
  </si>
  <si>
    <t>à volonté</t>
  </si>
  <si>
    <t>?</t>
  </si>
  <si>
    <t>Hurlement qui projette à terre les gens</t>
  </si>
  <si>
    <t>1 G</t>
  </si>
  <si>
    <t>Nature</t>
  </si>
  <si>
    <t>Communication avec les animaux</t>
  </si>
  <si>
    <t>Furtivité</t>
  </si>
  <si>
    <t>Le LG peut masquer son odeur</t>
  </si>
  <si>
    <t>Invisiblité tant qu'il est immobile</t>
  </si>
  <si>
    <t>tant qu'il est immobile</t>
  </si>
  <si>
    <t>Avec rien qu'un info triviale sur la proie le LG peut la traquer</t>
  </si>
  <si>
    <t>Transformation en animaux réels ou fictifs</t>
  </si>
  <si>
    <t>Permet de parler aux esprits</t>
  </si>
  <si>
    <t>Permet de guérir autrui</t>
  </si>
  <si>
    <t>Invisible aux esprits</t>
  </si>
  <si>
    <t>Ignore les pénalités des blessures</t>
  </si>
  <si>
    <t>Permet de se faire entendre sans interruption</t>
  </si>
  <si>
    <t>Tant qu'il parle</t>
  </si>
  <si>
    <t>Savoir</t>
  </si>
  <si>
    <t>La méditation donne accès aux connaissances des ancestres</t>
  </si>
  <si>
    <t>Gnose</t>
  </si>
  <si>
    <t>un court moment</t>
  </si>
  <si>
    <t>Permet de sentir la surabondance énergétique de la Trinité en un lieu</t>
  </si>
  <si>
    <t>Libère la cible de tout entrave physique ou mentale</t>
  </si>
  <si>
    <t>Charisme + Instinct Primal</t>
  </si>
  <si>
    <t>3 heures par réussite</t>
  </si>
  <si>
    <t>Réveille les créatures du Ver les empêche de se rendormir</t>
  </si>
  <si>
    <t>Fascine les auditeurs jusqu'à les placer dans l'inaction</t>
  </si>
  <si>
    <t>1 tour par réussite</t>
  </si>
  <si>
    <t>Création d'êtres vivants</t>
  </si>
  <si>
    <t>1 scène par 1 Gnose</t>
  </si>
  <si>
    <t>Armes naturelles</t>
  </si>
  <si>
    <t>Aiguisse ses griffes pour faire plus mal</t>
  </si>
  <si>
    <t>1 R</t>
  </si>
  <si>
    <t>Donne 1 Volonté à ses compagnons</t>
  </si>
  <si>
    <t>Projete sa cible au moindre contact</t>
  </si>
  <si>
    <t>Force + Intimidation</t>
  </si>
  <si>
    <t>Paralyse sa proie de peur</t>
  </si>
  <si>
    <t>Change les griffes du LG en argent</t>
  </si>
  <si>
    <t>Perception + Connaissance de la rue (urbain)
Perception + Survie (sauvage)</t>
  </si>
  <si>
    <t>Permet d'obtenir des infos des esprits de la nature OU de la ville</t>
  </si>
  <si>
    <t>La difficulté de toute attaque mentale passe à 10</t>
  </si>
  <si>
    <t>Esquive tous les coups d'un combattant</t>
  </si>
  <si>
    <t>1 scène ou tant qu'il n'attaque pas</t>
  </si>
  <si>
    <t>Augmente l'absorption des dégâts</t>
  </si>
  <si>
    <t>Vigueur + Survie</t>
  </si>
  <si>
    <t>Immunité aux toxines normales (poisons, drogues, alcool, etc.)</t>
  </si>
  <si>
    <t xml:space="preserve">En refusant de partir le LG obtient des bonus à toutes ses actions physiques </t>
  </si>
  <si>
    <t>jusqu'à avoir vaincu de ses adversaires</t>
  </si>
  <si>
    <t>Peut convaincre un esprit élémentaire de modifier ou détruire sa forme terrestre</t>
  </si>
  <si>
    <t>Permet d'utiliser plusieurs fois le même talen</t>
  </si>
  <si>
    <t>reflexe</t>
  </si>
  <si>
    <t>Facilite l'utilisation d'outils faits par l'homme</t>
  </si>
  <si>
    <t>Difficulté</t>
  </si>
  <si>
    <t>Variable</t>
  </si>
  <si>
    <t>Astuce + Artisanats</t>
  </si>
  <si>
    <t>Charisme + Subterfuge</t>
  </si>
  <si>
    <t>Manipulation + Artisanats</t>
  </si>
  <si>
    <t>Intelligence + Erudition</t>
  </si>
  <si>
    <t>Manipulation + Instinct primal</t>
  </si>
  <si>
    <t>Manipulation + Rituels</t>
  </si>
  <si>
    <t>Vigueur + Furtivité</t>
  </si>
  <si>
    <t>Intelligence + Animaux</t>
  </si>
  <si>
    <t>Intelligence + Empathie</t>
  </si>
  <si>
    <t>Perception + Enigmes</t>
  </si>
  <si>
    <t>Charisme + Représentation</t>
  </si>
  <si>
    <t>Intelligence + Représentation</t>
  </si>
  <si>
    <t>Volonté</t>
  </si>
  <si>
    <t>Astuce + Athlétisme</t>
  </si>
  <si>
    <t>prochain test</t>
  </si>
  <si>
    <t>Urbanisme</t>
  </si>
  <si>
    <t>Parkour</t>
  </si>
  <si>
    <t>Les animaux sauvages ont des malus contre le LG et les animaux domestiques l'accueillent en ami</t>
  </si>
  <si>
    <t>Applique la Malédiction à une cible avec qui le LG a intérragi</t>
  </si>
  <si>
    <t>1 jour par réussite</t>
  </si>
  <si>
    <t>Rage</t>
  </si>
  <si>
    <t>Regard de tueur</t>
  </si>
  <si>
    <t>Fait fuir sa cible</t>
  </si>
  <si>
    <t>Charisme + Intimidation</t>
  </si>
  <si>
    <t>5 + Rang cible</t>
  </si>
  <si>
    <t>Augmente l'absorption des dégâts fais par balles</t>
  </si>
  <si>
    <t>Déprime la cible</t>
  </si>
  <si>
    <t>Manipulation + Empathie</t>
  </si>
  <si>
    <t>Le LG s'enveloppe dans un cocon protecteur</t>
  </si>
  <si>
    <t>1 jour par Gnose</t>
  </si>
  <si>
    <t>Annulation de la Malédiction</t>
  </si>
  <si>
    <t>Exponentiel avec les réussites</t>
  </si>
  <si>
    <t>Le LG se fonds dans une culture cible</t>
  </si>
  <si>
    <t>Dépends de la culture</t>
  </si>
  <si>
    <t>Charisme + Empathie</t>
  </si>
  <si>
    <t>Immunise un humain au Délire</t>
  </si>
  <si>
    <t>Rends le LG plus impréssionant/désirable/intéréssant aux yeux des humains et il peut augmenter ses Attributs Sociaux</t>
  </si>
  <si>
    <t>1 aggravée</t>
  </si>
  <si>
    <t>Récuperer 3 points de Rage en se blessant</t>
  </si>
  <si>
    <t>Le LG peut créer une petite quantité de matière des 4 elements classiques</t>
  </si>
  <si>
    <t>Le LG peut se désarticuler pour se glisser n'importe où sa tête peut passer</t>
  </si>
  <si>
    <t>Apparence + Commandement</t>
  </si>
  <si>
    <t>Permer de changer de peau pour se libérer de liens</t>
  </si>
  <si>
    <t>Dextérité + Instinct Primal</t>
  </si>
  <si>
    <t>Animalisme</t>
  </si>
  <si>
    <t>Peut creuser des tunnels avec ses griffes</t>
  </si>
  <si>
    <t>Force + Athlétisme</t>
  </si>
  <si>
    <t>Réduit la Volonté et la Rage de sa cible</t>
  </si>
  <si>
    <t>Manipulation + Expression</t>
  </si>
  <si>
    <t>variable</t>
  </si>
  <si>
    <t>Camouflage naturel qui le rends difficile à voir</t>
  </si>
  <si>
    <t>Dresse des barrières mentales entre le LG et les autres</t>
  </si>
  <si>
    <t xml:space="preserve">Permet une communication mentale entre deux personnes qui se connaissent </t>
  </si>
  <si>
    <t>Nyctalopie</t>
  </si>
  <si>
    <t>La fourrure du LG devient raide et pointue</t>
  </si>
  <si>
    <t>Inflige un point de dégâts aggravés à la cible</t>
  </si>
  <si>
    <t>Rend un membre de la cible inutilisable</t>
  </si>
  <si>
    <t>Les dégâts de morsure après absorption sont doublés</t>
  </si>
  <si>
    <t>Le LG peut modifier son corps à volonté et en faire un monstre grotesque avec la métamorphose partielle</t>
  </si>
  <si>
    <t>Le Totem Tribal interviens sur le monde physique pour aider le LG</t>
  </si>
  <si>
    <t>Charisme + Rituels</t>
  </si>
  <si>
    <t>Rends la cible folle</t>
  </si>
  <si>
    <t>Manipulation + Intimidation</t>
  </si>
  <si>
    <t>Permet d'avoir des griffes et des crocs sous forme hominidée</t>
  </si>
  <si>
    <t>Facilite la fuite</t>
  </si>
  <si>
    <t>Astuce + Instinct primal</t>
  </si>
  <si>
    <t>7 (nature)
9 (ville)</t>
  </si>
  <si>
    <t>Localise assez de proies pour nourrir une meute</t>
  </si>
  <si>
    <t>Perception + Instinct primal</t>
  </si>
  <si>
    <t>5 (nature)
7 (ville)</t>
  </si>
  <si>
    <t>Améliore la vue</t>
  </si>
  <si>
    <t>Perception + Vigilance</t>
  </si>
  <si>
    <t>Permet de voir l'invisble grâce aux odeurs</t>
  </si>
  <si>
    <t>Détruit tous les appareils électroniques simples à portée</t>
  </si>
  <si>
    <t>Sous forme lupus le LG a la Force de la forme Crinos</t>
  </si>
  <si>
    <t>Ne subit pas de dégâts aux chutes de moins de 100m, son équilibre est parfait et il est plus difficile à immobiliser</t>
  </si>
  <si>
    <t>Augmente les dégâts de morsure</t>
  </si>
  <si>
    <t>Vigueur + 4</t>
  </si>
  <si>
    <t>Applique le Délire à une cible</t>
  </si>
  <si>
    <t>Contrôle une grande partie d'un élément classique</t>
  </si>
  <si>
    <t>Le LG peut invoquer l'esprit d'un animal disparu depuis longtemps et lui demander un service</t>
  </si>
  <si>
    <t>2 G</t>
  </si>
  <si>
    <t>jusqu'à réalisation du service</t>
  </si>
  <si>
    <t>Cuenta de Nom</t>
  </si>
  <si>
    <t>Humanité</t>
  </si>
  <si>
    <t>Ouvre un objet scéllé</t>
  </si>
  <si>
    <t>Goulet</t>
  </si>
  <si>
    <t>Fait oublier les différents avec des blagues</t>
  </si>
  <si>
    <t>Plus difficile à repérer par la vue</t>
  </si>
  <si>
    <t>Manipulation + Furtivité</t>
  </si>
  <si>
    <t>Visage du menteur</t>
  </si>
  <si>
    <t>Persadue l'interlocuteur que le LG est entrain de mentir</t>
  </si>
  <si>
    <t>Peut "écouter" une conversation electronique</t>
  </si>
  <si>
    <t>Tant qu'il est en contact avec la ligne</t>
  </si>
  <si>
    <t>Peut voler un objet et faire oublié au propriétaire qu'il le possédait</t>
  </si>
  <si>
    <t>Astuce + Larcin</t>
  </si>
  <si>
    <t>Intelligence + Connaissance de la rue</t>
  </si>
  <si>
    <t>Chasse</t>
  </si>
  <si>
    <t>Persuade l'interlocuteur que le LG est entrain de dire la vérité</t>
  </si>
  <si>
    <t>Astuce + Subterfuge</t>
  </si>
  <si>
    <t>Voyage</t>
  </si>
  <si>
    <t>Permet de trouver des chemins courts</t>
  </si>
  <si>
    <t>Perception + Survie (nature)
Perception + Conn rue (urbain)</t>
  </si>
  <si>
    <t>Jusqu'à sortir du chemin</t>
  </si>
  <si>
    <t>Rends des outils technologiques inutilisables</t>
  </si>
  <si>
    <t>Jusqu'à rétablissement de l'esprit</t>
  </si>
  <si>
    <t>Permet d'ouvrir un pont de lune d'un carin à un autre</t>
  </si>
  <si>
    <t>Retire la faiblesse à l'argent quand la lune est visible dans le ciel</t>
  </si>
  <si>
    <t>Tant que la Lune est visible</t>
  </si>
  <si>
    <t>Maudit sa cible provoquant son affaiblissement ou sa paralysie</t>
  </si>
  <si>
    <t>Envoi son adversaire de l'autre côté du Goulet avec une esquive</t>
  </si>
  <si>
    <t>Jet d'esquive</t>
  </si>
  <si>
    <t>difficulté d'esquive +1 ou niveau du Goulet (prendre le max)</t>
  </si>
  <si>
    <t>Peut voler les pouvoirs des autres et s'en servir lui-même</t>
  </si>
  <si>
    <t>1 tour par Gnose dépensé</t>
  </si>
  <si>
    <t>Après avoir subit un pouvoir le Ragabash peut l'enseigner à d'autres LG. Mais il devient vulnérable à celui-ci et ne peut l'utiliser</t>
  </si>
  <si>
    <t>Subterfuge</t>
  </si>
  <si>
    <t>Thème exclusif</t>
  </si>
  <si>
    <t>Evasion</t>
  </si>
  <si>
    <t>Malédiction</t>
  </si>
  <si>
    <t>Le LG peut créer un cordon argenté visible que par lui qui le relie au lieu par où il est rentré dans le monde spirituel</t>
  </si>
  <si>
    <t>un jour par Gnose dépensée</t>
  </si>
  <si>
    <t>Peut lancer un filet invisible pour entraver un esprit</t>
  </si>
  <si>
    <t>3 G</t>
  </si>
  <si>
    <t>Intelligence + Occultisme</t>
  </si>
  <si>
    <t>Soumet un esprit à sa volonté</t>
  </si>
  <si>
    <t>Charisme + Commandement</t>
  </si>
  <si>
    <t>1 V / ordre</t>
  </si>
  <si>
    <t>Cercle autour du LG qui draine l'Essence des esprits</t>
  </si>
  <si>
    <t>Visions prophétiques lourdes de symbolisme</t>
  </si>
  <si>
    <t>C'est le MJ qui les déclenche</t>
  </si>
  <si>
    <t>Permet d'expulser un esprit d'un lieu, objet ou personne</t>
  </si>
  <si>
    <t>Permet de voyager dans l'Umbra grâce au Motif de la Tisseuse</t>
  </si>
  <si>
    <t>Charisme + Sciences</t>
  </si>
  <si>
    <t>Permet de voir dans l'Umbra sans y être</t>
  </si>
  <si>
    <t>Peut drainer l'Essence d'un esprit pour la transformer en Volonté</t>
  </si>
  <si>
    <t>Pas besoin de se lier à un objet pour qu'il traverse le Goulet avec soit</t>
  </si>
  <si>
    <t>Volonté variable</t>
  </si>
  <si>
    <t>Empêche la cible de traverser le Goulet</t>
  </si>
  <si>
    <t>Change la former et le but d'un esprit</t>
  </si>
  <si>
    <t>Réduit l'Intelligence de la cible à un stade bestial</t>
  </si>
  <si>
    <t>Gnose variable</t>
  </si>
  <si>
    <t>Astuce + Empathie</t>
  </si>
  <si>
    <t>Volonté + 3</t>
  </si>
  <si>
    <t>Convainc son interlocuteur de quelque chose qu'il n'aurait jamais cru</t>
  </si>
  <si>
    <t>Manipulation + Représentation</t>
  </si>
  <si>
    <t>Astuce + Enigmes</t>
  </si>
  <si>
    <t>Réduit la force du Goulet et attire des esprits alliés</t>
  </si>
  <si>
    <t>Astuce + Occultisme</t>
  </si>
  <si>
    <t>Permet d'escalader les parois comme spider man</t>
  </si>
  <si>
    <t>Plonge une zone dans un noir d'encre où lui seul peut voir</t>
  </si>
  <si>
    <t>Detecte la présence de magie, mais n'en a pas beaucoup d'infos</t>
  </si>
  <si>
    <t>Enchantement</t>
  </si>
  <si>
    <t>Peut récupérer ses Fétiches dans divers contenants</t>
  </si>
  <si>
    <t>Permet de voler légérement</t>
  </si>
  <si>
    <t>Peut respirer sous l'eau et nager aussi vite qu'il cours</t>
  </si>
  <si>
    <t>Vigueur + Animaux</t>
  </si>
  <si>
    <t>Invocation</t>
  </si>
  <si>
    <t>Fais surgir des "tentacules-boa" qu·il peut utiliser pour attaquer</t>
  </si>
  <si>
    <t>Dextérité + Occultisme</t>
  </si>
  <si>
    <t>Permet de faire oublier une information qu'il a donné à son interlocuteur lors du prochain lever de soleil</t>
  </si>
  <si>
    <t>Empêche les totems de venir en aide à leurs protégés</t>
  </si>
  <si>
    <t>1 G +
1 V</t>
  </si>
  <si>
    <t>Historique Totem</t>
  </si>
  <si>
    <t>Invoque un brouillard qui affaiblit les esprits ciblés</t>
  </si>
  <si>
    <t>Dextérité + Enigmes</t>
  </si>
  <si>
    <t>Permet de voir un lieu distant dans un reflet</t>
  </si>
  <si>
    <t>10 ou 8</t>
  </si>
  <si>
    <t>Deviens invisible</t>
  </si>
  <si>
    <t>Après avoir griffé sa cible il peut mettre fin à l'effet d'un pouvoir affectant sa cible</t>
  </si>
  <si>
    <t>Elements / Invocation</t>
  </si>
  <si>
    <t>Fait venir à lui un esprit élémentaire</t>
  </si>
  <si>
    <t>Peut soulever un objet d'une tonne d'un simple geste</t>
  </si>
  <si>
    <t>poupé voudou</t>
  </si>
  <si>
    <t>Perception + Artisanats</t>
  </si>
  <si>
    <t>10 points de dégâts max</t>
  </si>
  <si>
    <t>Voyage dans l'Umbra</t>
  </si>
  <si>
    <t>Hiver</t>
  </si>
  <si>
    <t>Invoque un fort vent froid</t>
  </si>
  <si>
    <t>Peut entendre les battements de coeur de sa proie, rendant la traque plus simple</t>
  </si>
  <si>
    <t xml:space="preserve">Perception + Survie </t>
  </si>
  <si>
    <t>Camouflage</t>
  </si>
  <si>
    <t>Plus dur à repérer dans la nature</t>
  </si>
  <si>
    <t>Créé un reflet (hologramme) parfait de lui-même qu'il peut contrôler</t>
  </si>
  <si>
    <t>Peut nager vite ou marcher sur l'eau. Seuls les corps d'eau douce naturels comptent</t>
  </si>
  <si>
    <t>Peut parler aux esprits du vent et leur poser une question sur l'entourage</t>
  </si>
  <si>
    <t>Comme Appel de la Brise mais en plus fort</t>
  </si>
  <si>
    <t>Permet de courir dans les airs en laissant une trainée de feu derrière</t>
  </si>
  <si>
    <t>1 scène ou à l'arrêt</t>
  </si>
  <si>
    <t>Vigueur + 3</t>
  </si>
  <si>
    <t>Le LG peut puiser sa Force du sang de sa vitime</t>
  </si>
  <si>
    <t>Le LG deviens immunisé aux effets de l'hiver</t>
  </si>
  <si>
    <t>Invoque un esprit pour qu'il dévore le coeur de sa cible … ou celui de l'invocateur</t>
  </si>
  <si>
    <t>1 R +
1 G</t>
  </si>
  <si>
    <t>Charisme + Occultisme</t>
  </si>
  <si>
    <t>jusqu'à fin de la chasse</t>
  </si>
  <si>
    <t>Fait chuter la température dans une large zone</t>
  </si>
  <si>
    <t>Métèo</t>
  </si>
  <si>
    <t>Produit n'importe quel effet climatique qu'il désire</t>
  </si>
  <si>
    <t>Gèle sa cible de l'intérieur</t>
  </si>
  <si>
    <t>Carnivore</t>
  </si>
  <si>
    <t>-</t>
  </si>
  <si>
    <t>Pureté</t>
  </si>
  <si>
    <t>Les griffes du LG infligent plus de dégâts aux êtres qui se sont déviés de leur but.</t>
  </si>
  <si>
    <t>1 tour</t>
  </si>
  <si>
    <t>Le LG peut détecter automatiquement la véritable nature des personnes qu'il rencontre</t>
  </si>
  <si>
    <t>Identifie quels mots sont vrais ou faux quand l'interlocuteur parle</t>
  </si>
  <si>
    <t>Manipulation + Subterfuge</t>
  </si>
  <si>
    <t>Donne un ordre à un esprit. L'ordre doit être en accord avec la nature de l'esprit</t>
  </si>
  <si>
    <t>Récupère de la Volonté</t>
  </si>
  <si>
    <t>Vigueur + Rituels</t>
  </si>
  <si>
    <t>Commandement</t>
  </si>
  <si>
    <t>Donne un ordre à un animal. Celui-ci interprête l'ordre selon sa propre compréhension.</t>
  </si>
  <si>
    <t>Charisme + Animaux</t>
  </si>
  <si>
    <t>Sanctifie un serment ou promesse. Dès qu'elle est rompue le LG est au courant et peut facilement traquer le parjure.</t>
  </si>
  <si>
    <t>Jusqu'à retrouver le parjure</t>
  </si>
  <si>
    <t>En observant sa proie le Philodox repère ses faiblesses et peut les frapper</t>
  </si>
  <si>
    <t>Perception + Bagarre</t>
  </si>
  <si>
    <t>étendu</t>
  </si>
  <si>
    <t>Une confrontation de Volonté où le perdant se soumet au gagnant. Les humains s'agenouillent, les Garous se couchent sur le dos.</t>
  </si>
  <si>
    <t>Oblige les créatures à reprendre leur forme de naissance</t>
  </si>
  <si>
    <t>Permet de projeter ses sens dans un lieu connu.</t>
  </si>
  <si>
    <t>Un mur de terre surgit devant le LG et se déplace avec lui pour le protéger</t>
  </si>
  <si>
    <t>Lie un groupe de personnes à un serment. Toute tentative de se parjurer est rendue plus difficile</t>
  </si>
  <si>
    <t>Manipulation + Commandement</t>
  </si>
  <si>
    <t>Permet d'augmenter un de ses hurlements pour attirer l'attention des esprits du Kaos</t>
  </si>
  <si>
    <t>Vigueur + Empathie</t>
  </si>
  <si>
    <t>Chant</t>
  </si>
  <si>
    <t>Peut parler aux animaux instinctivement</t>
  </si>
  <si>
    <t>Peut se souvenir de n'importe quel détail infime d'un moment de sa vie</t>
  </si>
  <si>
    <t>Plonge le LG et un nombres de cibles dans un rêve éveillé commun où ils peuvent comuniquer</t>
  </si>
  <si>
    <t>1 V par cible</t>
  </si>
  <si>
    <t>Attire une créature du Ver</t>
  </si>
  <si>
    <t>A force de couinements, jappements et autres bruit réduit la concentration de la cible</t>
  </si>
  <si>
    <t>Astuce + Représentation</t>
  </si>
  <si>
    <t>3 tours</t>
  </si>
  <si>
    <t>Rêves</t>
  </si>
  <si>
    <t>Chants</t>
  </si>
  <si>
    <t>Permet de rentrer dans le rêve de la cible et d'en prendre le contrôle</t>
  </si>
  <si>
    <t>Provoque la frénésie chez la cible</t>
  </si>
  <si>
    <t>En racontant une époée héroïque l'auditoire du LG peut gagner un point de capacité temporairement</t>
  </si>
  <si>
    <t>Hypnotise sa cible pour qu'elle vienne se mettre à portée</t>
  </si>
  <si>
    <t>Apparence + Enigmes</t>
  </si>
  <si>
    <t>Façonne un rêve et permet de l'insuffler dans sa cible</t>
  </si>
  <si>
    <t>Astuce + Expression</t>
  </si>
  <si>
    <t>Permet de créer des ponts lunaires personnels et très rapides</t>
  </si>
  <si>
    <t>un seul passage</t>
  </si>
  <si>
    <t xml:space="preserve">Plonge l'assemblée dans un théatre onirique où le LG joue le rôle du narrateur et l'assemblée incarne les acteurs. </t>
  </si>
  <si>
    <t>Permet d'altérer les émotions de la cible à souhait</t>
  </si>
  <si>
    <t>Le LG peut planter ses griffes telles des dards dans la chair de ses ennemis. Elles régénèrent en un tour</t>
  </si>
  <si>
    <t>Les esprits infligent moins de dégâts au LG avec leur Rage</t>
  </si>
  <si>
    <t>Augmente le score d'initiative</t>
  </si>
  <si>
    <t>Permet de refouler sa Rage, temporairement.</t>
  </si>
  <si>
    <t>Les griffes et les crocs du LG gagnent de la pénétration d'armure</t>
  </si>
  <si>
    <t>A chaque fois qu'il subit des dégâts le LG peut gagner de la Rage sans faire de jet de frénésie. Il peut aussi dépenser un point de Rage par tour gratuitement</t>
  </si>
  <si>
    <t>Les personnes cherchant activement à nuire le LG ou sa meute sont entourés d'un doux halo de lumière sous la pleine lune</t>
  </si>
  <si>
    <t>Tant que le LG tiens sa cible avec une morsure il peut refaire une attaque morsure pour infliger plus de dégâts</t>
  </si>
  <si>
    <t>jusqu’à fin de morsure</t>
  </si>
  <si>
    <t>Immunise aux dégâts infligés par le feu</t>
  </si>
  <si>
    <t>Accorde de la Volonté aux alliés</t>
  </si>
  <si>
    <t>Permet de guérrir les dégâts aggravés comme si c'était des létales. Sauf pour l'argent</t>
  </si>
  <si>
    <t>Permet d'utiliser les tactiques de meutes (page 300)</t>
  </si>
  <si>
    <t>Empêche les créatures surnaturelles d'utiliser tout pouvoir activable en lien avec le sang</t>
  </si>
  <si>
    <t>Manipulation + Occultisme</t>
  </si>
  <si>
    <t>Sait tout le temps où est le Nord et peut retrasser son chemin sans difficulté</t>
  </si>
  <si>
    <t>Le LG sait dans quelle direction il se déplace et à quel point cardinal il fait face.</t>
  </si>
  <si>
    <t>Le LG a plus de facilité a étouffer tous les sons qu'il fait</t>
  </si>
  <si>
    <t>Le LG peut voir les frantômes et les lieus hantés</t>
  </si>
  <si>
    <t>Double la vitesse de course</t>
  </si>
  <si>
    <t>Peut courir sans le moindre arrêt pendant 3 jours. Mais il doit ensuite se reposer pendant 1 jour entier</t>
  </si>
  <si>
    <t>Tant qu'il cours</t>
  </si>
  <si>
    <t>Peut marcher sur l'eau</t>
  </si>
  <si>
    <t xml:space="preserve">Dextérité + Survie </t>
  </si>
  <si>
    <t>Immunité aux dangers envirronants (poisons, maladies, températures extrêmes, manque d'air, hautes pressions, etc.)</t>
  </si>
  <si>
    <t>Permet de fait de grans sauts</t>
  </si>
  <si>
    <t>Les griffes laissent des traces qui attirent les morts</t>
  </si>
  <si>
    <t>1 semaine par réussite</t>
  </si>
  <si>
    <t>Permet de sentir les présences surnaturelles à proximité et déterminer approximativement son type et sa force</t>
  </si>
  <si>
    <t>Sentir le surnaturel</t>
  </si>
  <si>
    <t>Quand le LG touche une cible il peut activer ce Don pour laisser une marque avec le même effet que "Marque du loup funèbre"</t>
  </si>
  <si>
    <t>reflexe
1 jour par point de dégâts infligé</t>
  </si>
  <si>
    <t>Mort</t>
  </si>
  <si>
    <t>Décuple la vitesse de course pendant 8 heures. Mais à la fin le LG doit manger ou tomber en frénésie</t>
  </si>
  <si>
    <t>Vigueur + Athlétisme</t>
  </si>
  <si>
    <t>8 heures</t>
  </si>
  <si>
    <t>Permet de rentrer dans l'Umbra sans le moindre effort et n'import où</t>
  </si>
  <si>
    <t>Permet de faire un pont de lune qui transporte le LG instantanément</t>
  </si>
  <si>
    <t>Intelligence + Vigilance</t>
  </si>
  <si>
    <t>Thème principal</t>
  </si>
  <si>
    <t>Permet de dépenser jusqu'à 3 points de Rage pour ajouter autant de dés à la prochaine action</t>
  </si>
  <si>
    <t>1 à 3 R</t>
  </si>
  <si>
    <t>Permet de se soigner en plein milieu d'une bataille sans s'arrêter un tour pour le faire</t>
  </si>
  <si>
    <t>Bataille</t>
  </si>
  <si>
    <t>Sauvagerie</t>
  </si>
  <si>
    <t>Agilité</t>
  </si>
  <si>
    <t>Peut marcher sur tout rebord, filin ou autre passage étroit</t>
  </si>
  <si>
    <t>Dépenser un point de Volonté donne deux réussites automatiques au lieu d'une</t>
  </si>
  <si>
    <t>Transforme la Rage en Volonté</t>
  </si>
  <si>
    <t>5 minutes</t>
  </si>
  <si>
    <t>Le LG est considéré comme utilisant un miroir pour tout passage dans l'Umbra</t>
  </si>
  <si>
    <t>Augmente les résistances aux tentations matérielles ou spirituelles ainsi qu'à la corruption</t>
  </si>
  <si>
    <t>Astuce + Rituels</t>
  </si>
  <si>
    <t>Les obstacles ne ralentissent pas le LG</t>
  </si>
  <si>
    <t>Change la matiére d'un objet d'un élément à un autre</t>
  </si>
  <si>
    <t>Manipulation + Enigmes</t>
  </si>
  <si>
    <t>1 tour par point de Gnose</t>
  </si>
  <si>
    <t>Permet de voir dans le noir total, de voir les personnes invisibles et de reconnaître les illusions</t>
  </si>
  <si>
    <t>Combat non létal</t>
  </si>
  <si>
    <t>A l'activation de ce Donc les attaques du LG infligent des dégâts sont blesser l'adversaire. Une fois la cible hors combat elle se soigne de toutes ses blessures</t>
  </si>
  <si>
    <t>Quand il est la cible d'une attaque armée le LG peut réduire le jet de touche de son adversaire. S'il fait plus de réussites que lui il le désarme</t>
  </si>
  <si>
    <t>Réduit tous les groupements de dés de touche des attaques qui ciblent le LG</t>
  </si>
  <si>
    <t>Perception + Athlétisme</t>
  </si>
  <si>
    <t>Permet de rediriger les attaques des ennemis vers d'autres ennemis</t>
  </si>
  <si>
    <t>Astuce + 3</t>
  </si>
  <si>
    <t>Astuce + Mélée</t>
  </si>
  <si>
    <t>1 attaque par réussite</t>
  </si>
  <si>
    <t>Pendant que le personnage médite le joueur peut poser une question au conteur qui doit répondre (mais la réponse peut être vague et drapée de symbolisme)</t>
  </si>
  <si>
    <t>Intelligence + Enigmes</t>
  </si>
  <si>
    <t>une heure de méditation</t>
  </si>
  <si>
    <t>Pendant un jour le LG bénéficie des bonus de la forme et de la régénération de la forme Crinos sou forme hominidée</t>
  </si>
  <si>
    <t>un jour</t>
  </si>
  <si>
    <t>Héroïsme</t>
  </si>
  <si>
    <t>Le LG irradie une lumière de son corps, qui permet de voir à 30m et réduit les attaques sur soit</t>
  </si>
  <si>
    <t>Facilite la visée avec les armes à distance</t>
  </si>
  <si>
    <t>Il deviens presque impossible de se libérer de la poigne (ou morsure) du LG</t>
  </si>
  <si>
    <t>Permet de comprendre l'humeur générale et les attentes d'un groupe</t>
  </si>
  <si>
    <t>Armes blanches</t>
  </si>
  <si>
    <t>Transforme le bras du LG en épée</t>
  </si>
  <si>
    <t>Leader</t>
  </si>
  <si>
    <t>La meute gagne un dé bonus pour faire les tactiques de meute en présence du LG</t>
  </si>
  <si>
    <t>Les serviteurs du Ver ont envie de fuir à la vue du LG</t>
  </si>
  <si>
    <t>Nimbe la lame du LG de feu</t>
  </si>
  <si>
    <t>Les griffes du LG se transforment en armes d'estoc pouvant empaler la cible</t>
  </si>
  <si>
    <t>Le LG est automatiquement mis hors de portée d'une attaque devant le tuer. Peut importe la portée de l'attaque</t>
  </si>
  <si>
    <t>3 V</t>
  </si>
  <si>
    <t>Donne un ordre à un lycanthrope</t>
  </si>
  <si>
    <t>Prive la cible de ses pouvoir surnaturels</t>
  </si>
  <si>
    <t xml:space="preserve">Volonté </t>
  </si>
  <si>
    <t>L'argent n'inflige plus de dégâts au LG et tous les dégâts qu'il inflige sont comptés comme ayant étés faits avec de l'argent</t>
  </si>
  <si>
    <t>Réduit n'importe quel mort vivant en poussière</t>
  </si>
  <si>
    <t>Empêche les armes de marcher pendant un tour</t>
  </si>
  <si>
    <t>Fraternité ?</t>
  </si>
  <si>
    <t>Le LG semble être à sa place n'import où peu importe son apparence</t>
  </si>
  <si>
    <t>Apparence + Empathie</t>
  </si>
  <si>
    <t>Tous les dégâts infligés par le LG sont contondants</t>
  </si>
  <si>
    <t>Guerre ?</t>
  </si>
  <si>
    <t>Les blessures infligées par les armes naturelles du LG réduissent l'envie de se battre des adversaires</t>
  </si>
  <si>
    <t>Pacification</t>
  </si>
  <si>
    <t>Pacification ?</t>
  </si>
  <si>
    <t>Permet de retirer des points de Rage temporaire à une cible</t>
  </si>
  <si>
    <t>Quand le LG est en légitime défense il deviens plus puissant au combat</t>
  </si>
  <si>
    <t>Permet de se guérir soit même</t>
  </si>
  <si>
    <t>Les esprits sont appaisés par le LG et le traitent mieux pour cela</t>
  </si>
  <si>
    <t>Retire toute envie de se battre de sa cible</t>
  </si>
  <si>
    <t>Intelligence + Medecine</t>
  </si>
  <si>
    <t>Max(Rage,Volonté)</t>
  </si>
  <si>
    <t>Permet de guérir autrui ou de lui rendre de la Volonté ou d'annuler temporairement un dérangement</t>
  </si>
  <si>
    <t>Étiquettes de colonnes</t>
  </si>
  <si>
    <t>Total général</t>
  </si>
  <si>
    <t>Étiquettes de lignes</t>
  </si>
  <si>
    <t>(vide)</t>
  </si>
  <si>
    <t>Le LG cours assez vite pour esquiver n'importe quel poursuivant</t>
  </si>
  <si>
    <t>Empêche la cible d'avoir accès à sa Rage</t>
  </si>
  <si>
    <t>Charisme + Expression</t>
  </si>
  <si>
    <t>Les arbres protégent le LG en entravant ceux qui cherchent à l'attaquer</t>
  </si>
  <si>
    <t>Charisme + Survie</t>
  </si>
  <si>
    <t>S'entoure d'un halo de lumière du soleil qui fait fuir les créatures du Ver</t>
  </si>
  <si>
    <t xml:space="preserve">Fraternité </t>
  </si>
  <si>
    <t xml:space="preserve">Pacification </t>
  </si>
  <si>
    <t>Régénération</t>
  </si>
  <si>
    <t>Fraternité</t>
  </si>
  <si>
    <t>Vigueur, Fées</t>
  </si>
  <si>
    <t>Permet dire deux choses à la fois. Le LG décide qui entends quelle version.</t>
  </si>
  <si>
    <t>Fait apparaître une petite lumière</t>
  </si>
  <si>
    <t>1 scène si dépense de 1 G
ou 1 tour par réussite</t>
  </si>
  <si>
    <t>Permet d'esquiver des attaques plus facilement</t>
  </si>
  <si>
    <t>Reflexe</t>
  </si>
  <si>
    <t>Hurlement qui fait fuir les gens</t>
  </si>
  <si>
    <t>La voix du LG traverse le Goulet</t>
  </si>
  <si>
    <t>Le LG peut dire ce qu'il veut, les autres seront complètement d'accord</t>
  </si>
  <si>
    <t>Astuce + Vigilance</t>
  </si>
  <si>
    <t>Le LG a beaucoup de chance, il peut relancer des jets ratés</t>
  </si>
  <si>
    <t>Invoque les fées locales pour lui venir en aide</t>
  </si>
  <si>
    <t>Deviens plus difficile à traquer</t>
  </si>
  <si>
    <t>Fantasmagorie</t>
  </si>
  <si>
    <t>Créé une illusion visuelle, auditive, olfactive et même tactile</t>
  </si>
  <si>
    <t>Intelligence + Expresion</t>
  </si>
  <si>
    <t>Un œil du LG brille d'un rouge vif qui fait souffrir ceux qui le regardent</t>
  </si>
  <si>
    <t>invoque le Chasseur pour mener une chasse. S'il n'aime pas la chasse il prendra pour cible le LG qui l'a dérangé</t>
  </si>
  <si>
    <t>Transforme le LG en silouhette de brouillard qui peut tout traverser, sauf l'argent</t>
  </si>
  <si>
    <t>Le LG peut changer sa taille. Il peut la multiplier par 3 ou devenir haut comme 2 pommes</t>
  </si>
  <si>
    <t>Fée</t>
  </si>
  <si>
    <t>Vocalisation</t>
  </si>
  <si>
    <t>Esquive</t>
  </si>
  <si>
    <t>Ragnarok</t>
  </si>
  <si>
    <t>Férocité, combat et combat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</si>
</sst>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2" borderId="0" xfId="0" applyFont="1" applyFill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0" fillId="0" borderId="0" xfId="0" applyFont="1" applyAlignment="1">
      <alignment horizontal="left"/>
    </xf>
    <xf numFmtId="0" fontId="0" fillId="2" borderId="0" xfId="0" applyFont="1" applyFill="1" applyAlignment="1">
      <alignment horizontal="left"/>
    </xf>
    <xf numFmtId="0" fontId="0" fillId="0" borderId="0" xfId="0" applyFont="1" applyAlignment="1">
      <alignment horizontal="left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eur" refreshedDate="43643.43254386574" createdVersion="6" refreshedVersion="6" minRefreshableVersion="3" recordCount="420" xr:uid="{2C21D036-61B9-4234-91DA-1EFDCFF6F2F1}">
  <cacheSource type="worksheet">
    <worksheetSource ref="A1:K422" sheet="Dons d'origine"/>
  </cacheSource>
  <cacheFields count="11">
    <cacheField name="Type de liste" numFmtId="0">
      <sharedItems count="3">
        <s v="Race"/>
        <s v="Auspice"/>
        <s v="Tribu"/>
      </sharedItems>
    </cacheField>
    <cacheField name="Liste" numFmtId="0">
      <sharedItems count="21">
        <s v="Hominidé"/>
        <s v="Métis"/>
        <s v="Lupus"/>
        <s v="Ragabash"/>
        <s v="Théurge"/>
        <s v="Philodox"/>
        <s v="Galliard"/>
        <s v="Ahroun"/>
        <s v="Arpenteurs Silencieux"/>
        <s v="Astrôlatres"/>
        <s v="Crocs d'Argent"/>
        <s v="Enfants de Gaïa"/>
        <s v="Fianna"/>
        <s v="Fils de Fenrir"/>
        <s v="Furies Noires"/>
        <s v="Griffes Rouges"/>
        <s v="Marcheurs sur Verre"/>
        <s v="Rongeurs d'Os"/>
        <s v="Seigneurs de l'Ombre"/>
        <s v="Uktena"/>
        <s v="Wendigo"/>
      </sharedItems>
    </cacheField>
    <cacheField name="Niveau" numFmtId="0">
      <sharedItems containsSemiMixedTypes="0" containsString="0" containsNumber="1" containsInteger="1" minValue="1" maxValue="6"/>
    </cacheField>
    <cacheField name="Nom" numFmtId="0">
      <sharedItems/>
    </cacheField>
    <cacheField name="Thème" numFmtId="0">
      <sharedItems containsBlank="1" count="62">
        <s v="Humanité"/>
        <s v="Urbanisme"/>
        <s v="Elements"/>
        <s v="Commandement"/>
        <s v="Technologie"/>
        <s v="Malédiction"/>
        <s v="Transformation"/>
        <s v="Armes à feu"/>
        <s v="Social"/>
        <s v="Métamorphose"/>
        <s v="Résistance"/>
        <s v="Exorcisme"/>
        <s v="Rage"/>
        <s v="Animalisme"/>
        <s v="Perception"/>
        <s v="?"/>
        <s v="Furtivité"/>
        <s v="Shamanisme"/>
        <s v="Chasse"/>
        <s v="Evasion"/>
        <s v="Voyage"/>
        <s v="Nature"/>
        <s v="Invocation"/>
        <s v="Subterfuge"/>
        <s v="Voyage dans l'Umbra"/>
        <s v="Guérison"/>
        <s v="Domination"/>
        <s v="Pureté"/>
        <s v="Volonté"/>
        <s v="Savoir"/>
        <s v="Chant"/>
        <s v="Rêves"/>
        <s v="Armes naturelles"/>
        <s v="Héroïsme"/>
        <s v="Combat non létal"/>
        <s v="Bataille"/>
        <s v="Sauvagerie"/>
        <s v="Mort"/>
        <s v="Survie"/>
        <s v="Force?"/>
        <s v="Agilité"/>
        <s v="Leader"/>
        <s v="Armes blanches"/>
        <s v="Fraternité ?"/>
        <s v="Pacification ?"/>
        <s v="Guerre ?"/>
        <m/>
        <s v="Enchantement"/>
        <s v="Elements / Invocation"/>
        <s v="Hiver"/>
        <s v="Carnivore"/>
        <s v="Métèo"/>
        <s v="Résistance / Element" u="1"/>
        <s v="Espionnage" u="1"/>
        <s v="Armes à feu / Résistance" u="1"/>
        <s v="Perception / Traque" u="1"/>
        <s v="Infiltration" u="1"/>
        <s v="Rage / frénésie" u="1"/>
        <s v="Mental" u="1"/>
        <s v="Shamanisme ?" u="1"/>
        <s v="Résistance / Social" u="1"/>
        <s v="Animalisme / Perception" u="1"/>
      </sharedItems>
    </cacheField>
    <cacheField name="Unique" numFmtId="0">
      <sharedItems/>
    </cacheField>
    <cacheField name="Description courte" numFmtId="0">
      <sharedItems containsBlank="1"/>
    </cacheField>
    <cacheField name="Coût" numFmtId="0">
      <sharedItems containsBlank="1"/>
    </cacheField>
    <cacheField name="Jet" numFmtId="0">
      <sharedItems containsBlank="1"/>
    </cacheField>
    <cacheField name="Difficulté" numFmtId="0">
      <sharedItems containsBlank="1" containsMixedTypes="1" containsNumber="1" containsInteger="1" minValue="4" maxValue="8"/>
    </cacheField>
    <cacheField name="Duré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">
  <r>
    <x v="0"/>
    <x v="0"/>
    <n v="1"/>
    <s v="Ingéniosité des primates"/>
    <x v="0"/>
    <s v="Oui"/>
    <s v="Facilite l'utilisation d'outils faits par l'homme"/>
    <s v="N/A"/>
    <s v="Astuce + Artisanats"/>
    <n v="7"/>
    <s v="prochain test"/>
  </r>
  <r>
    <x v="0"/>
    <x v="0"/>
    <n v="1"/>
    <s v="Loup des villes"/>
    <x v="1"/>
    <s v="Oui"/>
    <s v="Parkour"/>
    <s v="1 R"/>
    <s v="n/a"/>
    <s v="n/a"/>
    <s v="1 scène"/>
  </r>
  <r>
    <x v="0"/>
    <x v="0"/>
    <n v="1"/>
    <s v="Maître du feu"/>
    <x v="2"/>
    <s v="Non"/>
    <s v="Le feu fait des dégâts contondants au LG"/>
    <s v="1 G"/>
    <s v="n/a"/>
    <s v="n/a"/>
    <s v="1 scène"/>
  </r>
  <r>
    <x v="0"/>
    <x v="0"/>
    <n v="1"/>
    <s v="Odeur humaine"/>
    <x v="0"/>
    <s v="Oui"/>
    <s v="Les animaux sauvages ont des malus contre le LG et les animaux domestiques l'accueillent en ami"/>
    <s v="N/A"/>
    <s v="n/a"/>
    <s v="n/a"/>
    <s v="permanent"/>
  </r>
  <r>
    <x v="0"/>
    <x v="0"/>
    <n v="1"/>
    <s v="Persuasion"/>
    <x v="3"/>
    <s v="Non"/>
    <s v="Diminution de la difficulté des jets sociaux"/>
    <s v="N/A"/>
    <s v="Charisme + Subterfuge"/>
    <n v="7"/>
    <s v="1 scène"/>
  </r>
  <r>
    <x v="0"/>
    <x v="0"/>
    <n v="2"/>
    <s v="Détraquage"/>
    <x v="4"/>
    <s v="Non"/>
    <s v="Les objets technologiques cessent de fonctionner"/>
    <s v="1 G"/>
    <s v="Manipulation + Artisanats"/>
    <s v="Variable"/>
    <s v="2 tours par réussite"/>
  </r>
  <r>
    <x v="0"/>
    <x v="0"/>
    <n v="2"/>
    <s v="Langage du monde"/>
    <x v="0"/>
    <s v="Non"/>
    <s v="Parle toutes les langues"/>
    <s v="N/A"/>
    <s v="Intelligence + Erudition"/>
    <n v="7"/>
    <s v="1 scène"/>
  </r>
  <r>
    <x v="0"/>
    <x v="0"/>
    <n v="2"/>
    <s v="Marque du loup"/>
    <x v="5"/>
    <s v="Oui"/>
    <s v="Applique la Malédiction à une cible avec qui le LG a intérragi"/>
    <s v="N/A"/>
    <s v="Manipulation + Instinct primal"/>
    <n v="7"/>
    <s v="1 jour par réussite"/>
  </r>
  <r>
    <x v="0"/>
    <x v="0"/>
    <n v="2"/>
    <s v="Regard de tueur"/>
    <x v="5"/>
    <s v="Oui"/>
    <s v="Fait fuir sa cible"/>
    <s v="N/A"/>
    <s v="Charisme + Intimidation"/>
    <s v="5 + Rang cible"/>
    <s v="1 tour par réussite"/>
  </r>
  <r>
    <x v="0"/>
    <x v="0"/>
    <n v="3"/>
    <s v="Calmer la bête sauvage"/>
    <x v="5"/>
    <s v="Non"/>
    <s v="Calme un LG en frénesie"/>
    <s v="1 V"/>
    <s v="Manipulation + Instinct primal"/>
    <n v="8"/>
    <s v="instantané"/>
  </r>
  <r>
    <x v="0"/>
    <x v="0"/>
    <n v="3"/>
    <s v="Remodeler un objet"/>
    <x v="6"/>
    <s v="Non"/>
    <s v="Change la forme d'un objet mort, jadis vivant"/>
    <s v="1 G"/>
    <s v="Manipulation + Artisanats"/>
    <s v="Variable"/>
    <s v="1 scène par réussite"/>
  </r>
  <r>
    <x v="0"/>
    <x v="0"/>
    <n v="3"/>
    <s v="Repousser les balles"/>
    <x v="7"/>
    <s v="Oui"/>
    <s v="Augmente l'absorption des dégâts fais par balles"/>
    <s v="1 G"/>
    <s v="n/a"/>
    <s v="n/a"/>
    <s v="1 scène"/>
  </r>
  <r>
    <x v="0"/>
    <x v="0"/>
    <n v="3"/>
    <s v="Trouble"/>
    <x v="8"/>
    <s v="Oui"/>
    <s v="Déprime la cible"/>
    <s v="N/A"/>
    <s v="Manipulation + Empathie"/>
    <s v="Volonté"/>
    <s v="1 scène"/>
  </r>
  <r>
    <x v="0"/>
    <x v="0"/>
    <n v="4"/>
    <s v="Adaptation corporelle"/>
    <x v="9"/>
    <s v="Non"/>
    <s v="Redistribution d'Attributs Physiques"/>
    <s v="N/A"/>
    <s v="Vigueur + Instinct Primal"/>
    <n v="6"/>
    <s v="1 scène"/>
  </r>
  <r>
    <x v="0"/>
    <x v="0"/>
    <n v="4"/>
    <s v="Cocon"/>
    <x v="10"/>
    <s v="Oui"/>
    <s v="Le LG s'enveloppe dans un cocon protecteur"/>
    <s v="1 G"/>
    <s v="n/a"/>
    <s v="n/a"/>
    <s v="1 jour par Gnose"/>
  </r>
  <r>
    <x v="0"/>
    <x v="0"/>
    <n v="4"/>
    <s v="Protection contre les esprits"/>
    <x v="11"/>
    <s v="Non"/>
    <s v="Fais perdre de l'Essence aux esprits proches"/>
    <s v="1 G"/>
    <s v="Manipulation + Rituels"/>
    <n v="7"/>
    <s v="1 scène"/>
  </r>
  <r>
    <x v="0"/>
    <x v="0"/>
    <n v="4"/>
    <s v="Refouler le loup"/>
    <x v="5"/>
    <s v="Oui"/>
    <s v="Annulation de la Malédiction"/>
    <s v="1 G"/>
    <s v="Gnose"/>
    <s v="Volonté"/>
    <s v="Exponentiel avec les réussites"/>
  </r>
  <r>
    <x v="0"/>
    <x v="0"/>
    <n v="5"/>
    <s v="Assimilation"/>
    <x v="0"/>
    <s v="Oui"/>
    <s v="Le LG se fonds dans une culture cible"/>
    <s v="N/A"/>
    <s v="Manipulation + Empathie"/>
    <s v="Dépends de la culture"/>
    <s v="1 scène"/>
  </r>
  <r>
    <x v="0"/>
    <x v="0"/>
    <n v="5"/>
    <s v="Ecarter le Voile"/>
    <x v="5"/>
    <s v="Oui"/>
    <s v="Immunise un humain au Délire"/>
    <s v="1 G"/>
    <s v="Charisme + Empathie"/>
    <n v="6"/>
    <s v="1 scène"/>
  </r>
  <r>
    <x v="0"/>
    <x v="0"/>
    <n v="5"/>
    <s v="Plus qu'humain"/>
    <x v="0"/>
    <s v="Oui"/>
    <s v="Rends le LG plus impréssionant/désirable/intéréssant aux yeux des humains et il peut augmenter ses Attributs Sociaux"/>
    <s v="N/A"/>
    <s v="n/a"/>
    <s v="n/a"/>
    <s v="permanent"/>
  </r>
  <r>
    <x v="0"/>
    <x v="1"/>
    <n v="1"/>
    <s v="Colère primitive"/>
    <x v="12"/>
    <s v="Oui"/>
    <s v="Récuperer 3 points de Rage en se blessant"/>
    <s v="1 aggravée"/>
    <s v="n/a"/>
    <s v="n/a"/>
    <s v="1 scène"/>
  </r>
  <r>
    <x v="0"/>
    <x v="1"/>
    <n v="1"/>
    <s v="Création élémentaire"/>
    <x v="2"/>
    <s v="Oui"/>
    <s v="Le LG peut créer une petite quantité de matière des 4 elements classiques"/>
    <s v="1 G"/>
    <s v="Gnose"/>
    <n v="6"/>
    <s v="instantané"/>
  </r>
  <r>
    <x v="0"/>
    <x v="1"/>
    <n v="1"/>
    <s v="Face de rat"/>
    <x v="13"/>
    <s v="Oui"/>
    <s v="Le LG peut se désarticuler pour se glisser n'importe où sa tête peut passer"/>
    <s v="1 G"/>
    <s v="Dextérité + Athlétisme"/>
    <n v="7"/>
    <s v="1 scène"/>
  </r>
  <r>
    <x v="0"/>
    <x v="1"/>
    <n v="1"/>
    <s v="Mue"/>
    <x v="13"/>
    <s v="Oui"/>
    <s v="Permer de changer de peau pour se libérer de liens"/>
    <s v="N/A"/>
    <s v="Dextérité + Instinct Primal"/>
    <n v="7"/>
    <s v="instantané"/>
  </r>
  <r>
    <x v="0"/>
    <x v="1"/>
    <n v="1"/>
    <s v="Sentir le Ver"/>
    <x v="14"/>
    <s v="Non"/>
    <s v="Le LG peut sentir les manifestations du Ver à proximité de lui"/>
    <s v="N/A"/>
    <s v="Perception + Occultisme"/>
    <s v="Variable"/>
    <s v="instantané"/>
  </r>
  <r>
    <x v="0"/>
    <x v="1"/>
    <n v="2"/>
    <s v="Fouisseur"/>
    <x v="13"/>
    <s v="Oui"/>
    <s v="Peut creuser des tunnels avec ses griffes"/>
    <s v="N/A"/>
    <s v="Force + Athlétisme"/>
    <s v="Variable"/>
    <m/>
  </r>
  <r>
    <x v="0"/>
    <x v="1"/>
    <n v="2"/>
    <s v="Maîtrise des formes"/>
    <x v="9"/>
    <s v="Non"/>
    <s v="Facilite la métamorphose"/>
    <s v="N/A"/>
    <s v="n/a"/>
    <s v="n/a"/>
    <s v="permanent"/>
  </r>
  <r>
    <x v="0"/>
    <x v="1"/>
    <n v="2"/>
    <s v="Malédiction haineuse"/>
    <x v="15"/>
    <s v="Oui"/>
    <s v="Réduit la Volonté et la Rage de sa cible"/>
    <s v="1 G"/>
    <s v="Manipulation + Expression"/>
    <s v="Volonté"/>
    <m/>
  </r>
  <r>
    <x v="0"/>
    <x v="1"/>
    <n v="2"/>
    <s v="Sentir l'argent"/>
    <x v="14"/>
    <s v="Non"/>
    <s v="Permet de sentir la présence d'argent"/>
    <s v="N/A"/>
    <s v="Perception + Intuition"/>
    <n v="7"/>
    <s v="instantané"/>
  </r>
  <r>
    <x v="0"/>
    <x v="1"/>
    <n v="3"/>
    <s v="Caméléon"/>
    <x v="16"/>
    <s v="Oui"/>
    <s v="Camouflage naturel qui le rends difficile à voir"/>
    <s v="1 G"/>
    <s v="n/a"/>
    <s v="n/a"/>
    <s v="1 scène"/>
  </r>
  <r>
    <x v="0"/>
    <x v="1"/>
    <n v="3"/>
    <s v="Isolation"/>
    <x v="8"/>
    <s v="Oui"/>
    <s v="Dresse des barrières mentales entre le LG et les autres"/>
    <s v="N/A"/>
    <s v="Volonté"/>
    <s v="Rage"/>
    <s v="1 scène"/>
  </r>
  <r>
    <x v="0"/>
    <x v="1"/>
    <n v="3"/>
    <s v="Télépathie"/>
    <x v="15"/>
    <s v="Non"/>
    <s v="Permet une communication mentale entre deux personnes qui se connaissent "/>
    <s v="1 V"/>
    <s v="Charisme + Empathie"/>
    <n v="8"/>
    <s v="1 scène"/>
  </r>
  <r>
    <x v="0"/>
    <x v="1"/>
    <n v="3"/>
    <s v="Yeux de chat"/>
    <x v="13"/>
    <s v="Oui"/>
    <s v="Nyctalopie"/>
    <s v="N/A"/>
    <s v="n/a"/>
    <s v="n/a"/>
    <s v="permanent"/>
  </r>
  <r>
    <x v="0"/>
    <x v="1"/>
    <n v="4"/>
    <s v="Bénédiction du porc-épic"/>
    <x v="13"/>
    <s v="Oui"/>
    <s v="La fourrure du LG devient raide et pointue"/>
    <s v="1 G"/>
    <s v="n/a"/>
    <s v="n/a"/>
    <s v="1 scène"/>
  </r>
  <r>
    <x v="0"/>
    <x v="1"/>
    <n v="4"/>
    <s v="Déchaînement de rage"/>
    <x v="12"/>
    <s v="Oui"/>
    <s v="Inflige un point de dégâts aggravés à la cible"/>
    <s v="1 R"/>
    <s v="Rage"/>
    <n v="6"/>
    <s v="instantané"/>
  </r>
  <r>
    <x v="0"/>
    <x v="1"/>
    <n v="4"/>
    <s v="Flétrissure d'un membre"/>
    <x v="15"/>
    <s v="Oui"/>
    <s v="Rend un membre de la cible inutilisable"/>
    <s v="1 G"/>
    <s v="Volonté"/>
    <s v="Variable"/>
    <s v="instantané"/>
  </r>
  <r>
    <x v="0"/>
    <x v="1"/>
    <n v="4"/>
    <s v="Morsure du serpent à sonnette"/>
    <x v="13"/>
    <s v="Oui"/>
    <s v="Les dégâts de morsure après absorption sont doublés"/>
    <s v="1 R"/>
    <s v="n/a"/>
    <s v="n/a"/>
    <s v="reflexe"/>
  </r>
  <r>
    <x v="0"/>
    <x v="1"/>
    <n v="5"/>
    <s v="Bénédiction de Protée"/>
    <x v="9"/>
    <s v="Oui"/>
    <s v="Le LG peut modifier son corps à volonté et en faire un monstre grotesque avec la métamorphose partielle"/>
    <s v="N/A"/>
    <s v="n/a"/>
    <s v="n/a"/>
    <s v="permanent"/>
  </r>
  <r>
    <x v="0"/>
    <x v="1"/>
    <n v="5"/>
    <s v="Bénédiction du Totem"/>
    <x v="17"/>
    <s v="Oui"/>
    <s v="Le Totem Tribal interviens sur le monde physique pour aider le LG"/>
    <s v="1 G"/>
    <s v="Charisme + Rituels"/>
    <n v="7"/>
    <s v="instantané"/>
  </r>
  <r>
    <x v="0"/>
    <x v="1"/>
    <n v="5"/>
    <s v="Folie"/>
    <x v="15"/>
    <s v="Oui"/>
    <s v="Rends la cible folle"/>
    <s v="1 G"/>
    <s v="Manipulation + Intimidation"/>
    <s v="Volonté"/>
    <s v="1 jour par réussite"/>
  </r>
  <r>
    <x v="0"/>
    <x v="2"/>
    <n v="1"/>
    <s v="Arsenal du prédateur"/>
    <x v="18"/>
    <s v="Oui"/>
    <s v="Permet d'avoir des griffes et des crocs sous forme hominidée"/>
    <s v="N/A"/>
    <s v="n/a"/>
    <s v="n/a"/>
    <s v="à volonté"/>
  </r>
  <r>
    <x v="0"/>
    <x v="2"/>
    <n v="1"/>
    <s v="Bond de lièvre"/>
    <x v="13"/>
    <s v="Non"/>
    <s v="Permet de faire des sauts impossibles"/>
    <s v="N/A"/>
    <s v="Force + Athlétisme"/>
    <n v="7"/>
    <s v="1 scène"/>
  </r>
  <r>
    <x v="0"/>
    <x v="2"/>
    <n v="1"/>
    <s v="Esprit de la proie"/>
    <x v="19"/>
    <s v="Oui"/>
    <s v="Facilite la fuite"/>
    <s v="N/A"/>
    <s v="Astuce + Instinct primal"/>
    <s v="7 (nature)_x000a_9 (ville)"/>
    <s v="1 scène"/>
  </r>
  <r>
    <x v="0"/>
    <x v="2"/>
    <n v="1"/>
    <s v="Sens accrus"/>
    <x v="14"/>
    <s v="Non"/>
    <s v="Diminue la difficulté des jets de Perception"/>
    <s v="1 G"/>
    <s v="n/a"/>
    <s v="n/a"/>
    <s v="1 scène"/>
  </r>
  <r>
    <x v="0"/>
    <x v="2"/>
    <n v="1"/>
    <s v="Sentir la proie"/>
    <x v="18"/>
    <s v="Oui"/>
    <s v="Localise assez de proies pour nourrir une meute"/>
    <s v="N/A"/>
    <s v="Perception + Instinct primal"/>
    <s v="5 (nature)_x000a_7 (ville)"/>
    <s v="1 scène"/>
  </r>
  <r>
    <x v="0"/>
    <x v="2"/>
    <n v="2"/>
    <s v="Axis Mundi"/>
    <x v="20"/>
    <s v="Non"/>
    <s v="Le LG sait dans quelle direction il se déplace et à quel point cardinal il fait face."/>
    <s v="N/A"/>
    <s v="n/a"/>
    <s v="n/a"/>
    <s v="permanent"/>
  </r>
  <r>
    <x v="0"/>
    <x v="2"/>
    <n v="2"/>
    <s v="Nommer l'esprit"/>
    <x v="17"/>
    <s v="Non"/>
    <s v="Permet d'avoir des infos basiques sur un esprit"/>
    <s v="1 V"/>
    <s v="Perception + Occultisme"/>
    <n v="8"/>
    <s v="instantané"/>
  </r>
  <r>
    <x v="0"/>
    <x v="2"/>
    <n v="2"/>
    <s v="Œil de l'aigle"/>
    <x v="14"/>
    <s v="Oui"/>
    <s v="Améliore la vue"/>
    <s v="N/A"/>
    <s v="Perception + Vigilance"/>
    <n v="7"/>
    <s v="1 scène"/>
  </r>
  <r>
    <x v="0"/>
    <x v="2"/>
    <n v="2"/>
    <s v="Vision olfactive"/>
    <x v="14"/>
    <s v="Oui"/>
    <s v="Permet de voir l'invisble grâce aux odeurs"/>
    <s v="N/A"/>
    <s v="n/a"/>
    <s v="n/a"/>
    <s v="permanent"/>
  </r>
  <r>
    <x v="0"/>
    <x v="2"/>
    <n v="3"/>
    <s v="Faire taire la Tisseuse"/>
    <x v="4"/>
    <s v="Oui"/>
    <s v="Détruit tous les appareils électroniques simples à portée"/>
    <s v="1 R"/>
    <s v="Manipulation + Instinct primal"/>
    <n v="6"/>
    <s v="instantané"/>
  </r>
  <r>
    <x v="0"/>
    <x v="2"/>
    <n v="3"/>
    <s v="Force de Gaïa"/>
    <x v="18"/>
    <s v="Oui"/>
    <s v="Sous forme lupus le LG a la Force de la forme Crinos"/>
    <s v="1 R"/>
    <s v="n/a"/>
    <s v="n/a"/>
    <s v="1 scène"/>
  </r>
  <r>
    <x v="0"/>
    <x v="2"/>
    <n v="3"/>
    <s v="Pattes de chat"/>
    <x v="13"/>
    <s v="Oui"/>
    <s v="Ne subit pas de dégâts aux chutes de moins de 100m, son équilibre est parfait et il est plus difficile à immobiliser"/>
    <s v="N/A"/>
    <s v="n/a"/>
    <s v="n/a"/>
    <s v="permanent"/>
  </r>
  <r>
    <x v="0"/>
    <x v="2"/>
    <n v="3"/>
    <s v="Sentir le surnaturel"/>
    <x v="14"/>
    <s v="Non"/>
    <s v="Permet de sentir les présences surnaturelles à proximité et déterminer approximativement son type et sa force"/>
    <s v="N/A"/>
    <s v="Perception + Enigmes"/>
    <n v="6"/>
    <s v="instantané"/>
  </r>
  <r>
    <x v="0"/>
    <x v="2"/>
    <n v="3"/>
    <s v="Queue de singe"/>
    <x v="9"/>
    <s v="Non"/>
    <s v="La queue du LG lui permet de prendre des trucs"/>
    <s v="N/A"/>
    <s v="Dextérité + Athlétisme"/>
    <s v="n/a"/>
    <s v="à volonté"/>
  </r>
  <r>
    <x v="0"/>
    <x v="2"/>
    <n v="4"/>
    <s v="Cri de Gaïa"/>
    <x v="15"/>
    <s v="Non"/>
    <s v="Hurlement qui projette à terre les gens"/>
    <s v="1 G"/>
    <s v="n/a"/>
    <s v="n/a"/>
    <s v="instantané"/>
  </r>
  <r>
    <x v="0"/>
    <x v="2"/>
    <n v="4"/>
    <s v="Ronger"/>
    <x v="18"/>
    <s v="Oui"/>
    <s v="Augmente les dégâts de morsure"/>
    <s v="1 V"/>
    <s v="Vigueur + 4"/>
    <s v="Variable"/>
    <s v="1 scène"/>
  </r>
  <r>
    <x v="0"/>
    <x v="2"/>
    <n v="4"/>
    <s v="Terreur du Grand Loup"/>
    <x v="5"/>
    <s v="Oui"/>
    <s v="Applique le Délire à une cible"/>
    <s v="1 R"/>
    <s v="Manipulation + Instinct primal"/>
    <s v="Volonté"/>
    <s v="1 scène"/>
  </r>
  <r>
    <x v="0"/>
    <x v="2"/>
    <n v="4"/>
    <s v="Vie animale"/>
    <x v="21"/>
    <s v="Non"/>
    <s v="Communication avec les animaux"/>
    <s v="N/A"/>
    <s v="n/a"/>
    <s v="n/a"/>
    <s v="permanent"/>
  </r>
  <r>
    <x v="0"/>
    <x v="2"/>
    <n v="5"/>
    <s v="Bénédiction des éléments"/>
    <x v="2"/>
    <s v="Oui"/>
    <s v="Contrôle une grande partie d'un élément classique"/>
    <s v="1 G"/>
    <s v="Gnose"/>
    <n v="8"/>
    <s v="1 scène"/>
  </r>
  <r>
    <x v="0"/>
    <x v="2"/>
    <n v="5"/>
    <s v="Chant de la grande bête"/>
    <x v="22"/>
    <s v="Oui"/>
    <s v="Le LG peut invoquer l'esprit d'un animal disparu depuis longtemps et lui demander un service"/>
    <s v="2 G"/>
    <s v="Charisme + Instinct Primal"/>
    <n v="8"/>
    <s v="jusqu'à réalisation du service"/>
  </r>
  <r>
    <x v="1"/>
    <x v="3"/>
    <n v="1"/>
    <s v="Odeur de l'eau vive"/>
    <x v="16"/>
    <s v="Non"/>
    <s v="Le LG peut masquer son odeur"/>
    <s v="N/A"/>
    <s v="n/a"/>
    <s v="n/a"/>
    <s v="permanent"/>
  </r>
  <r>
    <x v="1"/>
    <x v="3"/>
    <n v="1"/>
    <s v="Ouverture du sceau"/>
    <x v="23"/>
    <s v="Oui"/>
    <s v="Ouvre un objet scéllé"/>
    <s v="N/A"/>
    <s v="Gnose"/>
    <s v="Goulet"/>
    <s v="instantané"/>
  </r>
  <r>
    <x v="1"/>
    <x v="3"/>
    <n v="1"/>
    <s v="Rire contagieux"/>
    <x v="8"/>
    <s v="Oui"/>
    <s v="Fait oublier les différents avec des blagues"/>
    <s v="N/A"/>
    <s v="Manipulation + Expression"/>
    <s v="Rage"/>
    <s v="instantané"/>
  </r>
  <r>
    <x v="1"/>
    <x v="3"/>
    <n v="1"/>
    <s v="Trouble de l'œil laiteux"/>
    <x v="16"/>
    <s v="Oui"/>
    <s v="Plus difficile à repérer par la vue"/>
    <s v="N/A"/>
    <s v="Manipulation + Furtivité"/>
    <n v="8"/>
    <s v="1 scène"/>
  </r>
  <r>
    <x v="1"/>
    <x v="3"/>
    <n v="1"/>
    <s v="Visage du menteur"/>
    <x v="23"/>
    <s v="Oui"/>
    <s v="Persadue l'interlocuteur que le LG est entrain de mentir"/>
    <s v="1 V"/>
    <s v="Charisme + Subterfuge"/>
    <n v="7"/>
    <s v="instantané"/>
  </r>
  <r>
    <x v="1"/>
    <x v="3"/>
    <n v="2"/>
    <s v="Chant de l'araignée"/>
    <x v="23"/>
    <s v="Oui"/>
    <s v="Peut &quot;écouter&quot; une conversation electronique"/>
    <s v="1 G"/>
    <s v="n/a"/>
    <s v="n/a"/>
    <s v="Tant qu'il est en contact avec la ligne"/>
  </r>
  <r>
    <x v="1"/>
    <x v="3"/>
    <n v="2"/>
    <s v="Ignorance bénie"/>
    <x v="16"/>
    <s v="Non"/>
    <s v="Invisiblité tant qu'il est immobile"/>
    <s v="N/A"/>
    <s v="Vigueur + Furtivité"/>
    <n v="5"/>
    <s v="tant qu'il est immobile"/>
  </r>
  <r>
    <x v="1"/>
    <x v="3"/>
    <n v="2"/>
    <s v="Pouls de la proie"/>
    <x v="18"/>
    <s v="Non"/>
    <s v="Avec rien qu'un info triviale sur la proie le LG peut la traquer"/>
    <s v="N/A"/>
    <s v="n/a"/>
    <s v="n/a"/>
    <s v="à volonté"/>
  </r>
  <r>
    <x v="1"/>
    <x v="3"/>
    <n v="2"/>
    <s v="Vol de l'oublié"/>
    <x v="23"/>
    <s v="Oui"/>
    <s v="Peut voler un objet et faire oublié au propriétaire qu'il le possédait"/>
    <s v="N/A"/>
    <s v="Astuce + Larcin"/>
    <s v="Intelligence + Connaissance de la rue"/>
    <s v="permanent"/>
  </r>
  <r>
    <x v="1"/>
    <x v="3"/>
    <n v="3"/>
    <s v="Art du menteur"/>
    <x v="23"/>
    <s v="Oui"/>
    <s v="Persuade l'interlocuteur que le LG est entrain de dire la vérité"/>
    <s v="N/A"/>
    <s v="Astuce + Subterfuge"/>
    <s v="Astuce + Subterfuge"/>
    <s v="instantané"/>
  </r>
  <r>
    <x v="1"/>
    <x v="3"/>
    <n v="3"/>
    <s v="Eclaireur"/>
    <x v="20"/>
    <s v="Oui"/>
    <s v="Permet de trouver des chemins courts"/>
    <s v="N/A"/>
    <s v="Perception + Survie (nature)_x000a_Perception + Conn rue (urbain)"/>
    <n v="7"/>
    <s v="Jusqu'à sortir du chemin"/>
  </r>
  <r>
    <x v="1"/>
    <x v="3"/>
    <n v="3"/>
    <s v="Gremlins"/>
    <x v="4"/>
    <s v="Oui"/>
    <s v="Rends des outils technologiques inutilisables"/>
    <s v="N/A"/>
    <s v="Manipulation + Intimidation"/>
    <s v="Variable"/>
    <s v="Jusqu'à rétablissement de l'esprit"/>
  </r>
  <r>
    <x v="1"/>
    <x v="3"/>
    <n v="3"/>
    <s v="Ouvrir un pont de lune"/>
    <x v="20"/>
    <s v="Oui"/>
    <s v="Permet d'ouvrir un pont de lune d'un carin à un autre"/>
    <s v="1 G"/>
    <s v="n/a"/>
    <s v="n/a"/>
    <s v="?"/>
  </r>
  <r>
    <x v="1"/>
    <x v="3"/>
    <n v="3"/>
    <s v="Queue de singe"/>
    <x v="9"/>
    <s v="Non"/>
    <s v="La queue du LG lui permet de prendre des trucs"/>
    <s v="N/A"/>
    <s v="Dextérité + Athlétisme"/>
    <n v="6"/>
    <s v="à volonté"/>
  </r>
  <r>
    <x v="1"/>
    <x v="3"/>
    <n v="4"/>
    <s v="Bénédiction de Luna"/>
    <x v="5"/>
    <s v="Oui"/>
    <s v="Retire la faiblesse à l'argent quand la lune est visible dans le ciel"/>
    <s v="N/A"/>
    <s v="n/a"/>
    <s v="n/a"/>
    <s v="Tant que la Lune est visible"/>
  </r>
  <r>
    <x v="1"/>
    <x v="3"/>
    <n v="4"/>
    <s v="Corps d'avorton"/>
    <x v="15"/>
    <s v="Oui"/>
    <s v="Maudit sa cible provoquant son affaiblissement ou sa paralysie"/>
    <s v="1 G"/>
    <s v="Gnose"/>
    <s v="Volonté"/>
    <s v="permanent"/>
  </r>
  <r>
    <x v="1"/>
    <x v="3"/>
    <n v="4"/>
    <s v="Esquive Umbrale"/>
    <x v="23"/>
    <s v="Oui"/>
    <s v="Envoi son adversaire de l'autre côté du Goulet avec une esquive"/>
    <s v="1 G"/>
    <s v="Jet d'esquive"/>
    <s v="difficulté d'esquive +1 ou niveau du Goulet (prendre le max)"/>
    <s v="instantané"/>
  </r>
  <r>
    <x v="1"/>
    <x v="3"/>
    <n v="5"/>
    <s v="Mille formes"/>
    <x v="9"/>
    <s v="Non"/>
    <s v="Transformation en animaux réels ou fictifs"/>
    <s v="1 G"/>
    <s v="Intelligence + Animaux"/>
    <n v="6"/>
    <s v="1 scène"/>
  </r>
  <r>
    <x v="1"/>
    <x v="3"/>
    <n v="5"/>
    <s v="Pie voleuse"/>
    <x v="23"/>
    <s v="Oui"/>
    <s v="Peut voler les pouvoirs des autres et s'en servir lui-même"/>
    <s v="N/A"/>
    <s v="Astuce + Larcin"/>
    <s v="Volonté"/>
    <s v="1 tour par Gnose dépensé"/>
  </r>
  <r>
    <x v="1"/>
    <x v="3"/>
    <n v="6"/>
    <s v="Bénédiction de Prométhée"/>
    <x v="23"/>
    <s v="Oui"/>
    <s v="Après avoir subit un pouvoir le Ragabash peut l'enseigner à d'autres LG. Mais il devient vulnérable à celui-ci et ne peut l'utiliser"/>
    <s v="1 G"/>
    <s v="n/a"/>
    <s v="n/a"/>
    <s v="permanent"/>
  </r>
  <r>
    <x v="1"/>
    <x v="4"/>
    <n v="1"/>
    <s v="Filin umbral"/>
    <x v="24"/>
    <s v="Oui"/>
    <s v="Le LG peut créer un cordon argenté visible que par lui qui le relie au lieu par où il est rentré dans le monde spirituel"/>
    <s v="1 G"/>
    <s v="n/a"/>
    <s v="n/a"/>
    <s v="un jour par Gnose dépensée"/>
  </r>
  <r>
    <x v="1"/>
    <x v="4"/>
    <n v="1"/>
    <s v="Langage des esprits"/>
    <x v="17"/>
    <s v="Non"/>
    <s v="Permet de parler aux esprits"/>
    <s v="N/A"/>
    <s v="n/a"/>
    <s v="n/a"/>
    <s v="permanent"/>
  </r>
  <r>
    <x v="1"/>
    <x v="4"/>
    <n v="1"/>
    <s v="Piège spirituel"/>
    <x v="11"/>
    <s v="Oui"/>
    <s v="Peut lancer un filet invisible pour entraver un esprit"/>
    <s v="1 G"/>
    <s v="Intelligence + Occultisme"/>
    <n v="8"/>
    <s v="1 scène"/>
  </r>
  <r>
    <x v="1"/>
    <x v="4"/>
    <n v="1"/>
    <s v="Sentir le Ver"/>
    <x v="14"/>
    <s v="Non"/>
    <s v="Le LG peut sentir les manifestations du Ver à proximité de lui"/>
    <s v="N/A"/>
    <s v="Perception + Occultisme"/>
    <s v="Variable"/>
    <s v="instantané"/>
  </r>
  <r>
    <x v="1"/>
    <x v="4"/>
    <n v="1"/>
    <s v="Toucher de la Mère"/>
    <x v="25"/>
    <s v="Non"/>
    <s v="Permet de guérir autrui"/>
    <s v="1 G"/>
    <s v="Intelligence + Empathie"/>
    <s v="Variable"/>
    <s v="instantané"/>
  </r>
  <r>
    <x v="1"/>
    <x v="4"/>
    <n v="2"/>
    <s v="Commander aux esprits"/>
    <x v="11"/>
    <s v="Oui"/>
    <s v="Soumet un esprit à sa volonté"/>
    <s v="1 V / ordre"/>
    <s v="Charisme + Commandement"/>
    <s v="Gnose"/>
    <s v="permanent"/>
  </r>
  <r>
    <x v="1"/>
    <x v="4"/>
    <n v="2"/>
    <s v="Mandala de bataille"/>
    <x v="11"/>
    <s v="Oui"/>
    <s v="Cercle autour du LG qui draine l'Essence des esprits"/>
    <s v="1 G"/>
    <s v="Intelligence + Occultisme"/>
    <n v="7"/>
    <s v="1 scène"/>
  </r>
  <r>
    <x v="1"/>
    <x v="4"/>
    <n v="2"/>
    <s v="Nommer l'esprit"/>
    <x v="11"/>
    <s v="Non"/>
    <s v="Permet d'avoir des infos basiques sur un esprit"/>
    <s v="1 V"/>
    <s v="Perception + Occultisme"/>
    <n v="8"/>
    <s v="instantané"/>
  </r>
  <r>
    <x v="1"/>
    <x v="4"/>
    <n v="2"/>
    <s v="Vision d'au-delà"/>
    <x v="15"/>
    <s v="Oui"/>
    <s v="Visions prophétiques lourdes de symbolisme"/>
    <s v="N/A"/>
    <s v="n/a"/>
    <s v="n/a"/>
    <s v="C'est le MJ qui les déclenche"/>
  </r>
  <r>
    <x v="1"/>
    <x v="4"/>
    <n v="3"/>
    <s v="Camouflage umbral"/>
    <x v="16"/>
    <s v="Oui"/>
    <s v="Invisible aux esprits"/>
    <s v="1 G"/>
    <s v="n/a"/>
    <s v="n/a"/>
    <s v="1 scène"/>
  </r>
  <r>
    <x v="1"/>
    <x v="4"/>
    <n v="3"/>
    <s v="Exorcisme"/>
    <x v="11"/>
    <s v="Oui"/>
    <s v="Permet d'expulser un esprit d'un lieu, objet ou personne"/>
    <s v="N/A"/>
    <s v="Manipulation + Intimidation"/>
    <s v="Volonté"/>
    <s v="instantané"/>
  </r>
  <r>
    <x v="1"/>
    <x v="4"/>
    <n v="3"/>
    <s v="Navigateur de la toile"/>
    <x v="24"/>
    <s v="Oui"/>
    <s v="Permet de voyager dans l'Umbra grâce au Motif de la Tisseuse"/>
    <s v="1 G"/>
    <s v="Charisme + Sciences"/>
    <n v="7"/>
    <s v="permanent"/>
  </r>
  <r>
    <x v="1"/>
    <x v="4"/>
    <n v="3"/>
    <s v="Pouls de l'invisible"/>
    <x v="17"/>
    <s v="Oui"/>
    <s v="Permet de voir dans l'Umbra sans y être"/>
    <s v="N/A"/>
    <s v="Gnose"/>
    <s v="Goulet"/>
    <s v="1 scène"/>
  </r>
  <r>
    <x v="1"/>
    <x v="4"/>
    <n v="4"/>
    <s v="Drain d'esprit"/>
    <x v="11"/>
    <s v="Oui"/>
    <s v="Peut drainer l'Essence d'un esprit pour la transformer en Volonté"/>
    <s v="N/A"/>
    <s v="Gnose"/>
    <s v="n/a"/>
    <s v="instantané"/>
  </r>
  <r>
    <x v="1"/>
    <x v="4"/>
    <n v="4"/>
    <s v="Protection contre les esprits"/>
    <x v="11"/>
    <s v="Non"/>
    <s v="Fais perdre de l'Essence aux esprits proches"/>
    <s v="1 G"/>
    <s v="Manipulation + Rituels"/>
    <n v="7"/>
    <s v="1 scène"/>
  </r>
  <r>
    <x v="1"/>
    <x v="4"/>
    <n v="4"/>
    <s v="Saisir l'intangible"/>
    <x v="24"/>
    <s v="Oui"/>
    <s v="Pas besoin de se lier à un objet pour qu'il traverse le Goulet avec soit"/>
    <s v="Volonté variable"/>
    <s v="Gnose"/>
    <s v="Goulet"/>
    <s v="instantané"/>
  </r>
  <r>
    <x v="1"/>
    <x v="4"/>
    <n v="4"/>
    <s v="Troubler le miroir"/>
    <x v="24"/>
    <s v="Oui"/>
    <s v="Empêche la cible de traverser le Goulet"/>
    <s v="1 G"/>
    <s v="n/a"/>
    <s v="n/a"/>
    <s v="1 scène"/>
  </r>
  <r>
    <x v="1"/>
    <x v="4"/>
    <n v="5"/>
    <s v="Esprit malléable"/>
    <x v="17"/>
    <s v="Oui"/>
    <s v="Change la former et le but d'un esprit"/>
    <s v="N/A"/>
    <s v="Gnose"/>
    <s v="Variable"/>
    <s v="instantané"/>
  </r>
  <r>
    <x v="1"/>
    <x v="4"/>
    <n v="5"/>
    <s v="Lobotomie bestiale"/>
    <x v="15"/>
    <s v="Oui"/>
    <s v="Réduit l'Intelligence de la cible à un stade bestial"/>
    <s v="Gnose variable"/>
    <s v="Astuce + Empathie"/>
    <s v="Volonté + 3"/>
    <s v="permanent"/>
  </r>
  <r>
    <x v="1"/>
    <x v="4"/>
    <n v="5"/>
    <s v="Argument ultime de la logique"/>
    <x v="26"/>
    <s v="Oui"/>
    <s v="Convainc son interlocuteur de quelque chose qu'il n'aurait jamais cru"/>
    <s v="N/A"/>
    <s v="Manipulation + Représentation"/>
    <s v="Astuce + Enigmes"/>
    <s v="instantané"/>
  </r>
  <r>
    <x v="1"/>
    <x v="4"/>
    <n v="6"/>
    <s v="Tel qu'au commencement"/>
    <x v="17"/>
    <s v="Oui"/>
    <s v="Réduit la force du Goulet et attire des esprits alliés"/>
    <s v="3 G"/>
    <s v="Astuce + Occultisme"/>
    <s v="Goulet"/>
    <s v="permanent"/>
  </r>
  <r>
    <x v="1"/>
    <x v="5"/>
    <n v="1"/>
    <s v="Crocs du jugement"/>
    <x v="27"/>
    <s v="Oui"/>
    <s v="Les griffes du LG infligent plus de dégâts aux êtres qui se sont déviés de leur but."/>
    <s v="1 V"/>
    <s v="n/a"/>
    <s v="n/a"/>
    <s v="1 tour"/>
  </r>
  <r>
    <x v="1"/>
    <x v="5"/>
    <n v="1"/>
    <s v="Odeur de la vraie forme"/>
    <x v="14"/>
    <s v="Oui"/>
    <s v="Le LG peut détecter automatiquement la véritable nature des personnes qu'il rencontre"/>
    <s v="N/A"/>
    <s v="n/a"/>
    <s v="n/a"/>
    <s v="permanent"/>
  </r>
  <r>
    <x v="1"/>
    <x v="5"/>
    <n v="1"/>
    <s v="Persuasion"/>
    <x v="3"/>
    <s v="Non"/>
    <s v="Diminution de la difficulté des jets sociaux"/>
    <s v="N/A"/>
    <s v="Charisme + Subterfuge"/>
    <n v="7"/>
    <s v="1 scène"/>
  </r>
  <r>
    <x v="1"/>
    <x v="5"/>
    <n v="1"/>
    <s v="Résistance à la douleur"/>
    <x v="10"/>
    <s v="Non"/>
    <s v="Ignore les pénalités des blessures"/>
    <s v="1 V"/>
    <s v="n/a"/>
    <s v="n/a"/>
    <s v="1 scène"/>
  </r>
  <r>
    <x v="1"/>
    <x v="5"/>
    <n v="1"/>
    <s v="Vérité de Gaïa"/>
    <x v="27"/>
    <s v="Oui"/>
    <s v="Identifie quels mots sont vrais ou faux quand l'interlocuteur parle"/>
    <s v="N/A"/>
    <s v="Intelligence + Empathie"/>
    <s v="Manipulation + Subterfuge"/>
    <s v="instantané"/>
  </r>
  <r>
    <x v="1"/>
    <x v="5"/>
    <n v="2"/>
    <s v="Appel du devoir"/>
    <x v="3"/>
    <s v="Oui"/>
    <s v="Donne un ordre à un esprit. L'ordre doit être en accord avec la nature de l'esprit"/>
    <s v="N/A"/>
    <s v="Charisme + Commandement"/>
    <s v="Volonté"/>
    <s v="instantané"/>
  </r>
  <r>
    <x v="1"/>
    <x v="5"/>
    <n v="2"/>
    <s v="Commander à l'assemblée"/>
    <x v="3"/>
    <s v="Non"/>
    <s v="Permet de se faire entendre sans interruption"/>
    <s v="1 V"/>
    <s v="Apparence + Commandement"/>
    <n v="6"/>
    <s v="Tant qu'il parle"/>
  </r>
  <r>
    <x v="1"/>
    <x v="5"/>
    <n v="2"/>
    <s v="Détermination"/>
    <x v="28"/>
    <s v="Oui"/>
    <s v="Récupère de la Volonté"/>
    <s v="N/A"/>
    <s v="Vigueur + Rituels"/>
    <n v="7"/>
    <s v="instantané"/>
  </r>
  <r>
    <x v="1"/>
    <x v="5"/>
    <n v="2"/>
    <s v="Roi des animaux"/>
    <x v="3"/>
    <s v="Oui"/>
    <s v="Donne un ordre à un animal. Celui-ci interprête l'ordre selon sa propre compréhension."/>
    <s v="N/A"/>
    <s v="Charisme + Animaux"/>
    <n v="7"/>
    <s v="instantané"/>
  </r>
  <r>
    <x v="1"/>
    <x v="5"/>
    <n v="3"/>
    <s v="Odeur du parjure"/>
    <x v="27"/>
    <s v="Oui"/>
    <s v="Sanctifie un serment ou promesse. Dès qu'elle est rompue le LG est au courant et peut facilement traquer le parjure."/>
    <s v="1 G"/>
    <s v="n/a"/>
    <s v="n/a"/>
    <s v="Jusqu'à retrouver le parjure"/>
  </r>
  <r>
    <x v="1"/>
    <x v="5"/>
    <n v="3"/>
    <s v="Point faible"/>
    <x v="15"/>
    <s v="Oui"/>
    <s v="En observant sa proie le Philodox repère ses faiblesses et peut les frapper"/>
    <s v="N/A"/>
    <s v="Perception + Bagarre"/>
    <n v="8"/>
    <s v="1 scène"/>
  </r>
  <r>
    <x v="1"/>
    <x v="5"/>
    <n v="3"/>
    <s v="Sagesse des voies ancestrales"/>
    <x v="29"/>
    <s v="Non"/>
    <s v="La méditation donne accès aux connaissances des ancestres"/>
    <s v="N/A"/>
    <s v="Gnose"/>
    <n v="6"/>
    <s v="un court moment"/>
  </r>
  <r>
    <x v="1"/>
    <x v="5"/>
    <n v="3"/>
    <s v="Sentir l'équilibre"/>
    <x v="14"/>
    <s v="Non"/>
    <s v="Permet de sentir la surabondance énergétique de la Trinité en un lieu"/>
    <s v="1 G"/>
    <s v="Perception + Enigmes"/>
    <n v="8"/>
    <s v="instantané"/>
  </r>
  <r>
    <x v="1"/>
    <x v="5"/>
    <n v="3"/>
    <s v="Télépathie"/>
    <x v="15"/>
    <s v="Non"/>
    <s v="Permet une communication mentale entre deux personnes qui se connaissent "/>
    <s v="1 V"/>
    <s v="Charisme + Empathie"/>
    <n v="8"/>
    <s v="1 scène"/>
  </r>
  <r>
    <x v="1"/>
    <x v="5"/>
    <n v="4"/>
    <s v="Couché!"/>
    <x v="3"/>
    <s v="Oui"/>
    <s v="Une confrontation de Volonté où le perdant se soumet au gagnant. Les humains s'agenouillent, les Garous se couchent sur le dos."/>
    <s v="N/A"/>
    <s v="Volonté"/>
    <n v="6"/>
    <s v="étendu"/>
  </r>
  <r>
    <x v="1"/>
    <x v="5"/>
    <n v="4"/>
    <s v="Imposer la vraie forme"/>
    <x v="15"/>
    <s v="Oui"/>
    <s v="Oblige les créatures à reprendre leur forme de naissance"/>
    <s v="m"/>
    <s v="Manipulation + Instinct primal"/>
    <n v="7"/>
    <s v="instantané"/>
  </r>
  <r>
    <x v="1"/>
    <x v="5"/>
    <n v="4"/>
    <s v="Odeur de l'ailleurs"/>
    <x v="14"/>
    <s v="Oui"/>
    <s v="Permet de projeter ses sens dans un lieu connu."/>
    <s v="N/A"/>
    <s v="Perception + Enigmes"/>
    <n v="8"/>
    <m/>
  </r>
  <r>
    <x v="1"/>
    <x v="5"/>
    <n v="5"/>
    <s v="Mur de granit"/>
    <x v="2"/>
    <s v="Oui"/>
    <s v="Un mur de terre surgit devant le LG et se déplace avec lui pour le protéger"/>
    <s v="1 G"/>
    <s v="n/a"/>
    <s v="n/a"/>
    <s v="1 scène"/>
  </r>
  <r>
    <x v="1"/>
    <x v="5"/>
    <n v="6"/>
    <s v="Briser les chaînes"/>
    <x v="19"/>
    <s v="Non"/>
    <s v="Libère la cible de tout entrave physique ou mentale"/>
    <s v="N/A"/>
    <s v="n/a"/>
    <s v="n/a"/>
    <s v="permanent"/>
  </r>
  <r>
    <x v="1"/>
    <x v="5"/>
    <n v="5"/>
    <s v="Geas"/>
    <x v="27"/>
    <s v="Oui"/>
    <s v="Lie un groupe de personnes à un serment. Toute tentative de se parjurer est rendue plus difficile"/>
    <s v="1 G"/>
    <s v="Manipulation + Commandement"/>
    <s v="Volonté"/>
    <s v="permanent"/>
  </r>
  <r>
    <x v="1"/>
    <x v="6"/>
    <n v="1"/>
    <s v="Appel du Kaos"/>
    <x v="30"/>
    <s v="Oui"/>
    <s v="Permet d'augmenter un de ses hurlements pour attirer l'attention des esprits du Kaos"/>
    <s v="N/A"/>
    <s v="Vigueur + Empathie"/>
    <n v="6"/>
    <s v="instantané"/>
  </r>
  <r>
    <x v="1"/>
    <x v="6"/>
    <n v="1"/>
    <s v="Langage animal"/>
    <x v="30"/>
    <s v="Oui"/>
    <s v="Peut parler aux animaux instinctivement"/>
    <s v="N/A"/>
    <s v="n/a"/>
    <s v="n/a"/>
    <s v="permanent"/>
  </r>
  <r>
    <x v="1"/>
    <x v="6"/>
    <n v="1"/>
    <s v="Mémoire parfaite"/>
    <x v="15"/>
    <s v="Oui"/>
    <s v="Peut se souvenir de n'importe quel détail infime d'un moment de sa vie"/>
    <s v="1 G"/>
    <s v="n/a"/>
    <s v="n/a"/>
    <s v="instantané"/>
  </r>
  <r>
    <x v="1"/>
    <x v="6"/>
    <n v="1"/>
    <s v="Parlesprit"/>
    <x v="31"/>
    <s v="Oui"/>
    <s v="Plonge le LG et un nombres de cibles dans un rêve éveillé commun où ils peuvent comuniquer"/>
    <s v="1 V par cible"/>
    <s v="Manipulation + Expression"/>
    <s v="Volonté"/>
    <s v="1 scène"/>
  </r>
  <r>
    <x v="1"/>
    <x v="6"/>
    <n v="1"/>
    <s v="Sens accrus"/>
    <x v="14"/>
    <s v="Non"/>
    <s v="Diminue la difficulté des jets de Perception"/>
    <s v="1 G"/>
    <s v="n/a"/>
    <s v="n/a"/>
    <s v="1 scène"/>
  </r>
  <r>
    <x v="1"/>
    <x v="6"/>
    <n v="2"/>
    <s v="Appel du Ver"/>
    <x v="30"/>
    <s v="Oui"/>
    <s v="Attire une créature du Ver"/>
    <s v="N/A"/>
    <s v="Manipulation + Représentation"/>
    <n v="7"/>
    <s v="instantané"/>
  </r>
  <r>
    <x v="1"/>
    <x v="6"/>
    <n v="2"/>
    <s v="Commander à l'assemblée"/>
    <x v="26"/>
    <s v="Non"/>
    <s v="Permet de se faire entendre sans interruption"/>
    <s v="1 V"/>
    <s v="Apparence + Commandement"/>
    <n v="6"/>
    <s v="Tant qu'il parle"/>
  </r>
  <r>
    <x v="1"/>
    <x v="6"/>
    <n v="2"/>
    <s v="Distractions"/>
    <x v="30"/>
    <s v="Oui"/>
    <s v="A force de couinements, jappements et autres bruit réduit la concentration de la cible"/>
    <s v="N/A"/>
    <s v="Astuce + Représentation"/>
    <s v="Volonté"/>
    <s v="3 tours"/>
  </r>
  <r>
    <x v="1"/>
    <x v="6"/>
    <n v="2"/>
    <s v="Hurlements dans la nuit"/>
    <x v="30"/>
    <s v="Non"/>
    <s v="Réveille les créatures du Ver les empêche de se rendormir"/>
    <s v="1 G"/>
    <s v="Charisme + Instinct Primal"/>
    <n v="6"/>
    <s v="3 heures par réussite"/>
  </r>
  <r>
    <x v="1"/>
    <x v="6"/>
    <n v="2"/>
    <s v="Parlerêve"/>
    <x v="31"/>
    <s v="Oui"/>
    <s v="Permet de rentrer dans le rêve de la cible et d'en prendre le contrôle"/>
    <s v="N/A"/>
    <s v="Astuce + Empathie"/>
    <n v="8"/>
    <s v="1 scène"/>
  </r>
  <r>
    <x v="1"/>
    <x v="6"/>
    <n v="3"/>
    <s v="Chant de la sirène"/>
    <x v="30"/>
    <s v="Non"/>
    <s v="Fascine les auditeurs jusqu'à les placer dans l'inaction"/>
    <s v="1 G"/>
    <s v="Charisme + Représentation"/>
    <s v="Variable"/>
    <s v="1 tour par réussite"/>
  </r>
  <r>
    <x v="1"/>
    <x v="6"/>
    <n v="3"/>
    <s v="Chant de rage"/>
    <x v="30"/>
    <s v="Oui"/>
    <s v="Provoque la frénésie chez la cible"/>
    <s v="N/A"/>
    <s v="Manipulation + Commandement"/>
    <s v="Volonté"/>
    <s v="1 tour par réussite"/>
  </r>
  <r>
    <x v="1"/>
    <x v="6"/>
    <n v="3"/>
    <s v="Chant des héros"/>
    <x v="30"/>
    <s v="Oui"/>
    <s v="En racontant une époée héroïque l'auditoire du LG peut gagner un point de capacité temporairement"/>
    <s v="2 G"/>
    <s v="Charisme + Représentation"/>
    <n v="8"/>
    <s v="1 scène"/>
  </r>
  <r>
    <x v="1"/>
    <x v="6"/>
    <n v="3"/>
    <s v="Œil de cobra"/>
    <x v="31"/>
    <s v="Oui"/>
    <s v="Hypnotise sa cible pour qu'elle vienne se mettre à portée"/>
    <s v="N/A"/>
    <s v="Apparence + Enigmes"/>
    <s v="Volonté"/>
    <s v="instantané"/>
  </r>
  <r>
    <x v="1"/>
    <x v="6"/>
    <n v="4"/>
    <s v="Bénédiction de Morphée"/>
    <x v="31"/>
    <s v="Oui"/>
    <s v="Façonne un rêve et permet de l'insuffler dans sa cible"/>
    <s v="N/A"/>
    <s v="Astuce + Expression"/>
    <n v="6"/>
    <s v="instantané"/>
  </r>
  <r>
    <x v="1"/>
    <x v="6"/>
    <n v="4"/>
    <s v="Passeur de ponts"/>
    <x v="15"/>
    <s v="Oui"/>
    <s v="Permet de créer des ponts lunaires personnels et très rapides"/>
    <s v="1 G"/>
    <s v="n/a"/>
    <s v="n/a"/>
    <s v="un seul passage"/>
  </r>
  <r>
    <x v="1"/>
    <x v="6"/>
    <n v="4"/>
    <s v="Thêatre d'ombres"/>
    <x v="31"/>
    <s v="Oui"/>
    <s v="Plonge l'assemblée dans un théatre onirique où le LG joue le rôle du narrateur et l'assemblée incarne les acteurs. "/>
    <s v="1 G"/>
    <s v="Manipulation + Représentation"/>
    <s v="Volonté"/>
    <s v="1 scène"/>
  </r>
  <r>
    <x v="1"/>
    <x v="6"/>
    <n v="5"/>
    <s v="Fruits de l'imagination"/>
    <x v="22"/>
    <s v="Non"/>
    <s v="Création d'êtres vivants"/>
    <s v="N/A"/>
    <s v="Intelligence + Représentation"/>
    <n v="8"/>
    <s v="1 scène par 1 Gnose"/>
  </r>
  <r>
    <x v="1"/>
    <x v="6"/>
    <n v="5"/>
    <s v="Psychomanipulation"/>
    <x v="31"/>
    <s v="Oui"/>
    <s v="Permet d'altérer les émotions de la cible à souhait"/>
    <s v="N/A"/>
    <s v="Manipulation + Empathie"/>
    <s v="Volonté"/>
    <s v="1 scène"/>
  </r>
  <r>
    <x v="1"/>
    <x v="6"/>
    <n v="6"/>
    <s v="Briser les chaînes"/>
    <x v="19"/>
    <s v="Non"/>
    <s v="Libère la cible de tout entrave physique ou mentale"/>
    <s v="N/A"/>
    <s v="n/a"/>
    <s v="n/a"/>
    <s v="permanent"/>
  </r>
  <r>
    <x v="1"/>
    <x v="7"/>
    <n v="1"/>
    <s v="Dards"/>
    <x v="32"/>
    <s v="Oui"/>
    <s v="Le LG peut planter ses griffes telles des dards dans la chair de ses ennemis. Elles régénèrent en un tour"/>
    <s v="1 R"/>
    <s v="n/a"/>
    <s v="n/a"/>
    <s v="reflexe"/>
  </r>
  <r>
    <x v="1"/>
    <x v="7"/>
    <n v="1"/>
    <s v="Griffes acérées"/>
    <x v="32"/>
    <s v="Non"/>
    <s v="Aiguisse ses griffes pour faire plus mal"/>
    <s v="1 R"/>
    <s v="n/a"/>
    <s v="n/a"/>
    <s v="1 scène"/>
  </r>
  <r>
    <x v="1"/>
    <x v="7"/>
    <n v="1"/>
    <s v="Inspiration"/>
    <x v="33"/>
    <s v="Non"/>
    <s v="Donne 1 Volonté à ses compagnons"/>
    <s v="1 G"/>
    <s v="n/a"/>
    <s v="n/a"/>
    <s v="1 scène"/>
  </r>
  <r>
    <x v="1"/>
    <x v="7"/>
    <n v="1"/>
    <s v="Mise au sol"/>
    <x v="34"/>
    <s v="Non"/>
    <s v="Projete sa cible au moindre contact"/>
    <s v="N/A"/>
    <s v="Volonté"/>
    <s v="Variable"/>
    <s v="instantané"/>
  </r>
  <r>
    <x v="1"/>
    <x v="7"/>
    <n v="1"/>
    <s v="Tactiques de meute"/>
    <x v="35"/>
    <s v="Oui"/>
    <s v="Permet d'utiliser les tactiques de meutes (page 300)"/>
    <s v="1 V"/>
    <s v="n/a"/>
    <s v="n/a"/>
    <s v="1 scène"/>
  </r>
  <r>
    <x v="1"/>
    <x v="7"/>
    <n v="2"/>
    <s v="Bouclier de Rage"/>
    <x v="36"/>
    <s v="Oui"/>
    <s v="Les esprits infligent moins de dégâts au LG avec leur Rage"/>
    <s v="1 V"/>
    <s v="n/a"/>
    <s v="n/a"/>
    <s v="1 scène"/>
  </r>
  <r>
    <x v="1"/>
    <x v="7"/>
    <n v="2"/>
    <s v="Esprit de la mêlée"/>
    <x v="35"/>
    <s v="Oui"/>
    <s v="Augmente le score d'initiative"/>
    <s v="N/A"/>
    <s v="n/a"/>
    <s v="n/a"/>
    <s v="permanent"/>
  </r>
  <r>
    <x v="1"/>
    <x v="7"/>
    <n v="2"/>
    <s v="Sentir l'argent"/>
    <x v="14"/>
    <s v="Non"/>
    <s v="Permet de sentir la présence d'argent"/>
    <s v="N/A"/>
    <s v="Perception + Intuition"/>
    <n v="7"/>
    <s v="instantané"/>
  </r>
  <r>
    <x v="1"/>
    <x v="7"/>
    <n v="2"/>
    <s v="Vraie peur"/>
    <x v="36"/>
    <s v="Non"/>
    <s v="Paralyse sa proie de peur"/>
    <s v="N/A"/>
    <s v="Force + Intimidation"/>
    <s v="Variable"/>
    <s v="1 tour par réussite"/>
  </r>
  <r>
    <x v="1"/>
    <x v="7"/>
    <n v="3"/>
    <s v="Cœur de fureur"/>
    <x v="36"/>
    <s v="Oui"/>
    <s v="Permet de refouler sa Rage, temporairement."/>
    <s v="N/A"/>
    <s v="Volonté"/>
    <s v="Rage"/>
    <s v="1 scène"/>
  </r>
  <r>
    <x v="1"/>
    <x v="7"/>
    <n v="3"/>
    <s v="Griffes d'argent"/>
    <x v="32"/>
    <s v="Non"/>
    <s v="Change les griffes du LG en argent"/>
    <s v="N/A"/>
    <s v="Gnose"/>
    <n v="7"/>
    <s v="1 scène"/>
  </r>
  <r>
    <x v="1"/>
    <x v="7"/>
    <n v="3"/>
    <s v="Griffes du vent"/>
    <x v="32"/>
    <s v="Oui"/>
    <s v="Les griffes et les crocs du LG gagnent de la pénétration d'armure"/>
    <s v="1 R"/>
    <s v="n/a"/>
    <s v="n/a"/>
    <s v="1 tour"/>
  </r>
  <r>
    <x v="1"/>
    <x v="7"/>
    <n v="3"/>
    <s v="Soins de bataille"/>
    <x v="25"/>
    <s v="Oui"/>
    <s v="Permet de se soigner en plein milieu d'une bataille sans s'arrêter un tour pour le faire"/>
    <s v="N/A"/>
    <s v="n/a"/>
    <s v="n/a"/>
    <s v="permanent"/>
  </r>
  <r>
    <x v="1"/>
    <x v="7"/>
    <n v="4"/>
    <s v="Adaptation corporelle"/>
    <x v="9"/>
    <s v="Non"/>
    <s v="Redistribution d'Attributs Physiques"/>
    <s v="N/A"/>
    <s v="Vigueur + Instinct Primal"/>
    <n v="6"/>
    <s v="1 scène"/>
  </r>
  <r>
    <x v="1"/>
    <x v="7"/>
    <n v="4"/>
    <s v="Attiser le braiser de la fureur"/>
    <x v="36"/>
    <s v="Oui"/>
    <s v="A chaque fois qu'il subit des dégâts le LG peut gagner de la Rage sans faire de jet de frénésie. Il peut aussi dépenser un point de Rage par tour gratuitement"/>
    <s v="N/A"/>
    <s v="n/a"/>
    <s v="n/a"/>
    <s v="permanent"/>
  </r>
  <r>
    <x v="1"/>
    <x v="7"/>
    <n v="4"/>
    <s v="Lumière de pleine lune"/>
    <x v="35"/>
    <s v="Oui"/>
    <s v="Les personnes cherchant activement à nuire le LG ou sa meute sont entourés d'un doux halo de lumière sous la pleine lune"/>
    <s v="1 G"/>
    <s v="n/a"/>
    <s v="n/a"/>
    <s v="1 scène"/>
  </r>
  <r>
    <x v="1"/>
    <x v="7"/>
    <n v="4"/>
    <s v="Mâchoire de fer"/>
    <x v="32"/>
    <s v="Oui"/>
    <s v="Tant que le LG tiens sa cible avec une morsure il peut refaire une attaque morsure pour infliger plus de dégâts"/>
    <s v="1 R"/>
    <s v="n/a"/>
    <s v="n/a"/>
    <s v="jusqu’à fin de morsure"/>
  </r>
  <r>
    <x v="1"/>
    <x v="7"/>
    <n v="5"/>
    <s v="Baiser d'Hélios"/>
    <x v="2"/>
    <s v="Oui"/>
    <s v="Immunise aux dégâts infligés par le feu"/>
    <s v="1 G"/>
    <s v="n/a"/>
    <s v="n/a"/>
    <s v="1 scène"/>
  </r>
  <r>
    <x v="1"/>
    <x v="7"/>
    <n v="5"/>
    <s v="Force de la volonté"/>
    <x v="28"/>
    <s v="Oui"/>
    <s v="Accorde de la Volonté aux alliés"/>
    <s v="1 V"/>
    <s v="Charisme + Commandement"/>
    <n v="8"/>
    <s v="1 scène"/>
  </r>
  <r>
    <x v="1"/>
    <x v="7"/>
    <n v="6"/>
    <s v="Guerrier implacable"/>
    <x v="25"/>
    <s v="Oui"/>
    <s v="Permet de guérrir les dégâts aggravés comme si c'était des létales. Sauf pour l'argent"/>
    <s v="N/A"/>
    <s v="n/a"/>
    <s v="n/a"/>
    <s v="permanent"/>
  </r>
  <r>
    <x v="2"/>
    <x v="8"/>
    <n v="1"/>
    <s v="Guide céleste"/>
    <x v="20"/>
    <s v="Oui"/>
    <s v="Sait tout le temps où est le Nord et peut retrasser son chemin sans difficulté"/>
    <s v="N/A"/>
    <s v="n/a"/>
    <s v="n/a"/>
    <s v="permanent"/>
  </r>
  <r>
    <x v="2"/>
    <x v="8"/>
    <n v="1"/>
    <s v="Sentir le Ver"/>
    <x v="14"/>
    <s v="Non"/>
    <s v="Le LG peut sentir les manifestations du Ver à proximité de lui"/>
    <s v="N/A"/>
    <s v="Perception + Occultisme"/>
    <s v="Variable"/>
    <s v="instantané"/>
  </r>
  <r>
    <x v="2"/>
    <x v="8"/>
    <n v="1"/>
    <s v="Silence"/>
    <x v="16"/>
    <s v="Oui"/>
    <s v="Le LG a plus de facilité a étouffer tous les sons qu'il fait"/>
    <s v="N/A"/>
    <s v="n/a"/>
    <s v="n/a"/>
    <s v="permanent"/>
  </r>
  <r>
    <x v="2"/>
    <x v="8"/>
    <n v="1"/>
    <s v="Visions de Duat"/>
    <x v="37"/>
    <s v="Oui"/>
    <s v="Le LG peut voir les frantômes et les lieus hantés"/>
    <s v="1 G"/>
    <s v="Perception + Occultisme"/>
    <n v="7"/>
    <s v="1 scène"/>
  </r>
  <r>
    <x v="2"/>
    <x v="8"/>
    <n v="1"/>
    <s v="Vitesse de la pensée"/>
    <x v="20"/>
    <s v="Oui"/>
    <s v="Double la vitesse de course"/>
    <s v="1 G"/>
    <s v="n/a"/>
    <s v="n/a"/>
    <s v="1 scène"/>
  </r>
  <r>
    <x v="2"/>
    <x v="8"/>
    <n v="2"/>
    <s v="Axis Mundi"/>
    <x v="20"/>
    <s v="Non"/>
    <s v="Le LG sait dans quelle direction il se déplace et à quel point cardinal il fait face."/>
    <s v="N/A"/>
    <s v="n/a"/>
    <s v="n/a"/>
    <s v="permanent"/>
  </r>
  <r>
    <x v="2"/>
    <x v="8"/>
    <n v="2"/>
    <s v="Endurance du messager"/>
    <x v="20"/>
    <s v="Oui"/>
    <s v="Peut courir sans le moindre arrêt pendant 3 jours. Mais il doit ensuite se reposer pendant 1 jour entier"/>
    <s v="1 G"/>
    <s v="n/a"/>
    <s v="n/a"/>
    <s v="Tant qu'il cours"/>
  </r>
  <r>
    <x v="2"/>
    <x v="8"/>
    <n v="2"/>
    <s v="Ignorance bénie"/>
    <x v="16"/>
    <s v="Non"/>
    <s v="Invisiblité tant qu'il est immobile"/>
    <s v="N/A"/>
    <s v="Vigueur + Furtivité"/>
    <n v="5"/>
    <s v="tant qu'il est immobile"/>
  </r>
  <r>
    <x v="2"/>
    <x v="8"/>
    <n v="2"/>
    <s v="Langage du monde"/>
    <x v="0"/>
    <s v="Non"/>
    <s v="Parle toutes les langues"/>
    <s v="N/A"/>
    <s v="Intelligence + Erudition"/>
    <n v="7"/>
    <s v="1 scène"/>
  </r>
  <r>
    <x v="2"/>
    <x v="8"/>
    <n v="2"/>
    <s v="Marcher sur le dos de Sebek"/>
    <x v="20"/>
    <s v="Oui"/>
    <s v="Peut marcher sur l'eau"/>
    <s v="1 G"/>
    <s v="Dextérité + Survie "/>
    <n v="7"/>
    <s v="1 scène"/>
  </r>
  <r>
    <x v="2"/>
    <x v="8"/>
    <n v="3"/>
    <s v="Adaptation"/>
    <x v="38"/>
    <s v="Oui"/>
    <s v="Immunité aux dangers envirronants (poisons, maladies, températures extrêmes, manque d'air, hautes pressions, etc.)"/>
    <s v="1 G"/>
    <s v="Vigueur + Survie"/>
    <n v="7"/>
    <s v="1 scène"/>
  </r>
  <r>
    <x v="2"/>
    <x v="8"/>
    <n v="3"/>
    <s v="Grand bond"/>
    <x v="39"/>
    <s v="Oui"/>
    <s v="Permet de fait de grans sauts"/>
    <s v="1 V"/>
    <s v="Force + Athlétisme"/>
    <n v="6"/>
    <s v="instantané"/>
  </r>
  <r>
    <x v="2"/>
    <x v="8"/>
    <n v="3"/>
    <s v="Marque du loup funèbre"/>
    <x v="37"/>
    <s v="Oui"/>
    <s v="Les griffes laissent des traces qui attirent les morts"/>
    <s v="1 G"/>
    <s v="Astuce + Occultisme"/>
    <n v="7"/>
    <s v="1 semaine par réussite"/>
  </r>
  <r>
    <x v="2"/>
    <x v="8"/>
    <n v="3"/>
    <s v="Sentir le surnaturel"/>
    <x v="15"/>
    <s v="Non"/>
    <s v="Permet de sentir les présences surnaturelles à proximité et déterminer approximativement son type et sa force"/>
    <s v="N/A"/>
    <s v="Perception + Enigmes"/>
    <n v="6"/>
    <s v="instantané"/>
  </r>
  <r>
    <x v="2"/>
    <x v="8"/>
    <n v="4"/>
    <s v="Endiguer la rivière de sang"/>
    <x v="37"/>
    <s v="Oui"/>
    <s v="Empêche les créatures surnaturelles d'utiliser tout pouvoir activable en lien avec le sang"/>
    <s v="1 G"/>
    <s v="Manipulation + Occultisme"/>
    <s v="Volonté"/>
    <s v="1 tour par réussite"/>
  </r>
  <r>
    <x v="2"/>
    <x v="8"/>
    <n v="4"/>
    <s v="Marque noire"/>
    <x v="37"/>
    <s v="Oui"/>
    <s v="Quand le LG touche une cible il peut activer ce Don pour laisser une marque avec le même effet que &quot;Marque du loup funèbre&quot;"/>
    <s v="1 G"/>
    <s v="n/a"/>
    <s v="n/a"/>
    <s v="reflexe_x000a_1 jour par point de dégâts infligé"/>
  </r>
  <r>
    <x v="2"/>
    <x v="8"/>
    <n v="4"/>
    <s v="Plus rapide que la pensée"/>
    <x v="20"/>
    <s v="Oui"/>
    <s v="Décuple la vitesse de course pendant 8 heures. Mais à la fin le LG doit manger ou tomber en frénésie"/>
    <s v="1 G"/>
    <s v="Vigueur + Athlétisme"/>
    <n v="7"/>
    <s v="8 heures"/>
  </r>
  <r>
    <x v="2"/>
    <x v="8"/>
    <n v="4"/>
    <s v="Syntonie"/>
    <x v="17"/>
    <s v="Non"/>
    <s v="Permet d'obtenir des infos des esprits de la nature OU de la ville"/>
    <s v="1 G"/>
    <s v="Perception + Connaissance de la rue (urbain)_x000a_Perception + Survie (sauvage)"/>
    <n v="6"/>
    <s v="instantané"/>
  </r>
  <r>
    <x v="2"/>
    <x v="8"/>
    <n v="5"/>
    <s v="Atteindre l'Umbra"/>
    <x v="24"/>
    <s v="Oui"/>
    <s v="Permet de rentrer dans l'Umbra sans le moindre effort et n'import où"/>
    <s v="N/A"/>
    <s v="n/a"/>
    <s v="n/a"/>
    <s v="permanent"/>
  </r>
  <r>
    <x v="2"/>
    <x v="8"/>
    <n v="5"/>
    <s v="Porte de la Lune"/>
    <x v="15"/>
    <s v="Oui"/>
    <s v="Permet de faire un pont de lune qui transporte le LG instantanément"/>
    <s v="1 G"/>
    <s v="Intelligence + Vigilance"/>
    <s v="Variable"/>
    <s v="instantané"/>
  </r>
  <r>
    <x v="2"/>
    <x v="9"/>
    <n v="1"/>
    <s v="Canalisation"/>
    <x v="12"/>
    <s v="Oui"/>
    <s v="Permet de dépenser jusqu'à 3 points de Rage pour ajouter autant de dés à la prochaine action"/>
    <s v="1 à 3 R"/>
    <s v="n/a"/>
    <s v="n/a"/>
    <s v="instantané"/>
  </r>
  <r>
    <x v="2"/>
    <x v="9"/>
    <n v="1"/>
    <s v="Equilibre"/>
    <x v="40"/>
    <s v="Oui"/>
    <s v="Peut marcher sur tout rebord, filin ou autre passage étroit"/>
    <s v="N/A"/>
    <s v="n/a"/>
    <s v="n/a"/>
    <s v="permanent"/>
  </r>
  <r>
    <x v="2"/>
    <x v="9"/>
    <n v="1"/>
    <s v="Mise au sol"/>
    <x v="34"/>
    <s v="Non"/>
    <s v="Projete sa cible au moindre contact"/>
    <s v="N/A"/>
    <s v="Volonté"/>
    <s v="Variable"/>
    <s v="instantané"/>
  </r>
  <r>
    <x v="2"/>
    <x v="9"/>
    <n v="1"/>
    <s v="Résolution de fer"/>
    <x v="28"/>
    <s v="Oui"/>
    <s v="Dépenser un point de Volonté donne deux réussites automatiques au lieu d'une"/>
    <s v="N/A"/>
    <s v="n/a"/>
    <s v="n/a"/>
    <s v="permanent"/>
  </r>
  <r>
    <x v="2"/>
    <x v="9"/>
    <n v="1"/>
    <s v="Sentir le Ver"/>
    <x v="14"/>
    <s v="Non"/>
    <s v="Le LG peut sentir les manifestations du Ver à proximité de lui"/>
    <s v="N/A"/>
    <s v="Perception + Occultisme"/>
    <s v="Variable"/>
    <s v="instantané"/>
  </r>
  <r>
    <x v="2"/>
    <x v="9"/>
    <n v="2"/>
    <s v="Force intérieure"/>
    <x v="28"/>
    <s v="Oui"/>
    <s v="Transforme la Rage en Volonté"/>
    <s v="N/A"/>
    <s v="Astuce + Enigmes"/>
    <n v="8"/>
    <s v="5 minutes"/>
  </r>
  <r>
    <x v="2"/>
    <x v="9"/>
    <n v="2"/>
    <s v="Lumière intérieure"/>
    <x v="24"/>
    <s v="Oui"/>
    <s v="Le LG est considéré comme utilisant un miroir pour tout passage dans l'Umbra"/>
    <s v="N/A"/>
    <s v="n/a"/>
    <s v="n/a"/>
    <s v="permanent"/>
  </r>
  <r>
    <x v="2"/>
    <x v="9"/>
    <n v="2"/>
    <s v="Resister à la tentation"/>
    <x v="28"/>
    <s v="Oui"/>
    <s v="Augmente les résistances aux tentations matérielles ou spirituelles ainsi qu'à la corruption"/>
    <s v="1 G"/>
    <s v="Astuce + Rituels"/>
    <n v="6"/>
    <s v="1 scène"/>
  </r>
  <r>
    <x v="2"/>
    <x v="9"/>
    <n v="2"/>
    <s v="Syntonie de surface"/>
    <x v="20"/>
    <s v="Oui"/>
    <s v="Les obstacles ne ralentissent pas le LG"/>
    <s v="N/A"/>
    <s v="Dextérité + Athlétisme"/>
    <n v="6"/>
    <s v="1 scène"/>
  </r>
  <r>
    <x v="2"/>
    <x v="9"/>
    <n v="2"/>
    <s v="Wuxing"/>
    <x v="6"/>
    <s v="Oui"/>
    <s v="Change la matiére d'un objet d'un élément à un autre"/>
    <s v="N/A"/>
    <s v="Manipulation + Enigmes"/>
    <n v="7"/>
    <s v="1 tour par point de Gnose"/>
  </r>
  <r>
    <x v="2"/>
    <x v="9"/>
    <n v="3"/>
    <s v="Clarté"/>
    <x v="14"/>
    <s v="Oui"/>
    <s v="Permet de voir dans le noir total, de voir les personnes invisibles et de reconnaître les illusions"/>
    <s v="N/A"/>
    <s v="Perception + Enigmes"/>
    <n v="7"/>
    <s v="instantané"/>
  </r>
  <r>
    <x v="2"/>
    <x v="9"/>
    <n v="3"/>
    <s v="Coup charitable"/>
    <x v="34"/>
    <s v="Oui"/>
    <s v="A l'activation de ce Donc les attaques du LG infligent des dégâts sont blesser l'adversaire. Une fois la cible hors combat elle se soigne de toutes ses blessures"/>
    <s v="1 G"/>
    <s v="n/a"/>
    <s v="n/a"/>
    <s v="1 scène"/>
  </r>
  <r>
    <x v="2"/>
    <x v="9"/>
    <n v="3"/>
    <s v="Faveur du vent qui tourne"/>
    <x v="34"/>
    <s v="Oui"/>
    <s v="Quand il est la cible d'une attaque armée le LG peut réduire le jet de touche de son adversaire. S'il fait plus de réussites que lui il le désarme"/>
    <s v="1 V"/>
    <s v="Dextérité + Athlétisme"/>
    <s v="Astuce + Mélée"/>
    <s v="instantané"/>
  </r>
  <r>
    <x v="2"/>
    <x v="9"/>
    <n v="3"/>
    <s v="Sentir l'équilibre"/>
    <x v="14"/>
    <s v="Non"/>
    <s v="Permet de sentir la surabondance énergétique de la Trinité en un lieu"/>
    <s v="1 G"/>
    <s v="Perception + Enigmes"/>
    <n v="8"/>
    <s v="instantané"/>
  </r>
  <r>
    <x v="2"/>
    <x v="9"/>
    <n v="4"/>
    <s v="Blocage mental"/>
    <x v="10"/>
    <s v="Non"/>
    <s v="La difficulté de toute attaque mentale passe à 10"/>
    <s v="N/A"/>
    <s v="n/a"/>
    <s v="n/a"/>
    <s v="permanent"/>
  </r>
  <r>
    <x v="2"/>
    <x v="9"/>
    <n v="4"/>
    <s v="Frappe dans le Vide"/>
    <x v="34"/>
    <s v="Non"/>
    <s v="Esquive tous les coups d'un combattant"/>
    <s v="1 V"/>
    <s v="Astuce + Athlétisme"/>
    <s v="Variable"/>
    <s v="1 scène ou tant qu'il n'attaque pas"/>
  </r>
  <r>
    <x v="2"/>
    <x v="9"/>
    <n v="4"/>
    <s v="Intuition surnaturelle"/>
    <x v="34"/>
    <s v="Oui"/>
    <s v="Réduit tous les groupements de dés de touche des attaques qui ciblent le LG"/>
    <s v="1 G"/>
    <s v="Perception + Athlétisme"/>
    <n v="7"/>
    <s v="1 scène"/>
  </r>
  <r>
    <x v="2"/>
    <x v="9"/>
    <n v="5"/>
    <s v="Attaque circulaire"/>
    <x v="34"/>
    <s v="Oui"/>
    <s v="Permet de rediriger les attaques des ennemis vers d'autres ennemis"/>
    <s v="1 V"/>
    <s v="Astuce + Athlétisme"/>
    <s v="Astuce + 3"/>
    <s v="1 attaque par réussite"/>
  </r>
  <r>
    <x v="2"/>
    <x v="9"/>
    <n v="5"/>
    <s v="Sagesse du devin"/>
    <x v="28"/>
    <s v="Oui"/>
    <s v="Pendant que le personnage médite le joueur peut poser une question au conteur qui doit répondre (mais la réponse peut être vague et drapée de symbolisme)"/>
    <s v="1 G"/>
    <s v="Intelligence + Enigmes"/>
    <n v="7"/>
    <s v="une heure de méditation"/>
  </r>
  <r>
    <x v="2"/>
    <x v="9"/>
    <n v="5"/>
    <s v="Unité harmonieuse de la mère d'émeraude"/>
    <x v="15"/>
    <s v="Oui"/>
    <s v="Pendant un jour le LG bénéficie des bonus de la forme et de la régénération de la forme Crinos sou forme hominidée"/>
    <s v="1 G"/>
    <s v="n/a"/>
    <s v="n/a"/>
    <s v="un jour"/>
  </r>
  <r>
    <x v="2"/>
    <x v="10"/>
    <n v="1"/>
    <s v="Flamme Chatoyante"/>
    <x v="33"/>
    <s v="Oui"/>
    <s v="Le LG irradie une lumière de son corps, qui permet de voir à 30m et réduit les attaques sur soit"/>
    <s v="1 V"/>
    <s v="n/a"/>
    <s v="n/a"/>
    <s v="1 scène"/>
  </r>
  <r>
    <x v="2"/>
    <x v="10"/>
    <n v="1"/>
    <s v="Inspiration"/>
    <x v="33"/>
    <s v="Non"/>
    <s v="Donne 1 Volonté à ses compagnons"/>
    <s v="1 G"/>
    <s v="n/a"/>
    <s v="n/a"/>
    <s v="1 scène"/>
  </r>
  <r>
    <x v="2"/>
    <x v="10"/>
    <n v="1"/>
    <s v="Œil du faucon"/>
    <x v="7"/>
    <s v="Oui"/>
    <s v="Facilite la visée avec les armes à distance"/>
    <s v="1 G"/>
    <s v="n/a"/>
    <s v="n/a"/>
    <s v="1 scène"/>
  </r>
  <r>
    <x v="2"/>
    <x v="10"/>
    <n v="1"/>
    <s v="Poigne du faucon"/>
    <x v="15"/>
    <s v="Oui"/>
    <s v="Il deviens presque impossible de se libérer de la poigne (ou morsure) du LG"/>
    <s v="1 R"/>
    <s v="n/a"/>
    <s v="n/a"/>
    <s v="1 scène"/>
  </r>
  <r>
    <x v="2"/>
    <x v="10"/>
    <n v="1"/>
    <s v="Sentir le Ver"/>
    <x v="14"/>
    <s v="Non"/>
    <s v="Le LG peut sentir les manifestations du Ver à proximité de lui"/>
    <s v="N/A"/>
    <s v="Perception + Occultisme"/>
    <s v="Variable"/>
    <s v="instantané"/>
  </r>
  <r>
    <x v="2"/>
    <x v="10"/>
    <n v="2"/>
    <s v="Armure de Luna"/>
    <x v="10"/>
    <s v="Non"/>
    <s v="Augmente l'absorption des dégâts"/>
    <s v="1 G"/>
    <s v="Vigueur + Survie"/>
    <n v="6"/>
    <s v="1 scène"/>
  </r>
  <r>
    <x v="2"/>
    <x v="10"/>
    <n v="2"/>
    <s v="Empathie"/>
    <x v="41"/>
    <s v="Oui"/>
    <s v="Permet de comprendre l'humeur générale et les attentes d'un groupe"/>
    <s v="1 G"/>
    <s v="Intelligence + Empathie"/>
    <n v="4"/>
    <s v="instantané"/>
  </r>
  <r>
    <x v="2"/>
    <x v="10"/>
    <n v="2"/>
    <s v="Main-lame"/>
    <x v="9"/>
    <s v="Oui"/>
    <s v="Transforme le bras du LG en épée"/>
    <s v="1 R"/>
    <s v="n/a"/>
    <s v="n/a"/>
    <s v="1 scène"/>
  </r>
  <r>
    <x v="2"/>
    <x v="10"/>
    <n v="2"/>
    <s v="Sentir l'argent"/>
    <x v="14"/>
    <s v="Non"/>
    <s v="Permet de sentir la présence d'argent"/>
    <s v="N/A"/>
    <s v="Perception + Intuition"/>
    <n v="7"/>
    <s v="instantané"/>
  </r>
  <r>
    <x v="2"/>
    <x v="10"/>
    <n v="2"/>
    <s v="Unité de la meute"/>
    <x v="41"/>
    <s v="Oui"/>
    <s v="La meute gagne un dé bonus pour faire les tactiques de meute en présence du LG"/>
    <s v="N/A"/>
    <s v="n/a"/>
    <s v="n/a"/>
    <s v="permanent"/>
  </r>
  <r>
    <x v="2"/>
    <x v="10"/>
    <n v="3"/>
    <s v="Colère de Gaïa"/>
    <x v="33"/>
    <s v="Oui"/>
    <s v="Les serviteurs du Ver ont envie de fuir à la vue du LG"/>
    <s v="1 G"/>
    <s v="Charisme + Intimidation"/>
    <n v="7"/>
    <s v="1 scène"/>
  </r>
  <r>
    <x v="2"/>
    <x v="10"/>
    <n v="3"/>
    <s v="Griffes d'argent"/>
    <x v="32"/>
    <s v="Non"/>
    <s v="Change les griffes du LG en argent"/>
    <s v="N/A"/>
    <s v="Gnose"/>
    <n v="7"/>
    <s v="1 scène"/>
  </r>
  <r>
    <x v="2"/>
    <x v="10"/>
    <n v="3"/>
    <s v="Lame brûlante"/>
    <x v="42"/>
    <s v="Oui"/>
    <s v="Nimbe la lame du LG de feu"/>
    <s v="N/A"/>
    <s v="Gnose"/>
    <n v="7"/>
    <s v="1 tour par réussite"/>
  </r>
  <r>
    <x v="2"/>
    <x v="10"/>
    <n v="3"/>
    <s v="Serres du faucon"/>
    <x v="32"/>
    <s v="Oui"/>
    <s v="Les griffes du LG se transforment en armes d'estoc pouvant empaler la cible"/>
    <s v="1 G"/>
    <s v="n/a"/>
    <s v="n/a"/>
    <s v="1 scène"/>
  </r>
  <r>
    <x v="2"/>
    <x v="10"/>
    <n v="4"/>
    <s v="Blocage mental"/>
    <x v="10"/>
    <s v="Non"/>
    <s v="La difficulté de toute attaque mentale passe à 10"/>
    <s v="N/A"/>
    <s v="n/a"/>
    <s v="n/a"/>
    <s v="permanent"/>
  </r>
  <r>
    <x v="2"/>
    <x v="10"/>
    <n v="4"/>
    <s v="Esquiver la Mort"/>
    <x v="33"/>
    <s v="Oui"/>
    <s v="Le LG est automatiquement mis hors de portée d'une attaque devant le tuer. Peut importe la portée de l'attaque"/>
    <s v="3 V"/>
    <s v="n/a"/>
    <s v="n/a"/>
    <s v="instantané"/>
  </r>
  <r>
    <x v="2"/>
    <x v="10"/>
    <n v="4"/>
    <s v="Maîtrise"/>
    <x v="41"/>
    <s v="Oui"/>
    <s v="Donne un ordre à un lycanthrope"/>
    <s v="N/A"/>
    <s v="Charisme + Commandement"/>
    <s v="Volonté + 3"/>
    <s v="instantané"/>
  </r>
  <r>
    <x v="2"/>
    <x v="10"/>
    <n v="5"/>
    <s v="Pattes du nouveau-né"/>
    <x v="15"/>
    <s v="Oui"/>
    <s v="Prive la cible de ses pouvoir surnaturels"/>
    <s v="2 G"/>
    <s v="Gnose"/>
    <s v="Volonté "/>
    <s v="1 tour par réussite"/>
  </r>
  <r>
    <x v="2"/>
    <x v="10"/>
    <n v="5"/>
    <s v="Vengeur de Luna"/>
    <x v="5"/>
    <s v="Oui"/>
    <s v="L'argent n'inflige plus de dégâts au LG et tous les dégâts qu'il inflige sont comptés comme ayant étés faits avec de l'argent"/>
    <s v="1 G"/>
    <s v="n/a"/>
    <s v="n/a"/>
    <s v="1 scène"/>
  </r>
  <r>
    <x v="2"/>
    <x v="10"/>
    <n v="6"/>
    <s v="Renouveler le cycle"/>
    <x v="37"/>
    <s v="Oui"/>
    <s v="Réduit n'importe quel mort vivant en poussière"/>
    <s v="Gnose variable"/>
    <s v="Gnose"/>
    <n v="8"/>
    <s v="instantané"/>
  </r>
  <r>
    <x v="2"/>
    <x v="11"/>
    <n v="1"/>
    <s v="Enrayer"/>
    <x v="15"/>
    <s v="Oui"/>
    <s v="Empêche les armes de marcher pendant un tour"/>
    <s v="1 G"/>
    <s v="Volonté"/>
    <s v="Volonté"/>
    <s v="1 tour par réussite"/>
  </r>
  <r>
    <x v="2"/>
    <x v="11"/>
    <n v="1"/>
    <s v="Odeur fraternelle"/>
    <x v="43"/>
    <s v="Oui"/>
    <s v="Le LG semble être à sa place n'import où peu importe son apparence"/>
    <s v="1 G"/>
    <s v="Apparence + Empathie"/>
    <n v="6"/>
    <s v="1 scène"/>
  </r>
  <r>
    <x v="2"/>
    <x v="11"/>
    <n v="1"/>
    <s v="Pitié"/>
    <x v="44"/>
    <s v="Oui"/>
    <s v="Tous les dégâts infligés par le LG sont contondants"/>
    <s v="1 G"/>
    <s v="n/a"/>
    <s v="n/a"/>
    <s v="1 scène"/>
  </r>
  <r>
    <x v="2"/>
    <x v="11"/>
    <n v="1"/>
    <s v="Résistance à la douleur"/>
    <x v="10"/>
    <s v="Non"/>
    <s v="Ignore les pénalités des blessures"/>
    <s v="1 V"/>
    <s v="n/a"/>
    <s v="n/a"/>
    <s v="1 scène"/>
  </r>
  <r>
    <x v="2"/>
    <x v="11"/>
    <n v="1"/>
    <s v="Toucher de la Mère"/>
    <x v="25"/>
    <s v="Non"/>
    <s v="Permet de guérir autrui"/>
    <s v="1 G"/>
    <s v="Intelligence + Empathie"/>
    <s v="Variable"/>
    <s v="instantané"/>
  </r>
  <r>
    <x v="2"/>
    <x v="11"/>
    <n v="2"/>
    <s v="Armure de Luna"/>
    <x v="10"/>
    <s v="Non"/>
    <s v="Augmente l'absorption des dégâts"/>
    <s v="1 G"/>
    <s v="Vigueur + Survie"/>
    <n v="6"/>
    <s v="1 scène"/>
  </r>
  <r>
    <x v="2"/>
    <x v="11"/>
    <n v="2"/>
    <s v="Arsenal de la Licorne"/>
    <x v="44"/>
    <s v="Oui"/>
    <s v="Les blessures infligées par les armes naturelles du LG réduissent l'envie de se battre des adversaires"/>
    <s v="1 G"/>
    <s v="n/a"/>
    <s v="n/a"/>
    <s v="1 scène"/>
  </r>
  <r>
    <x v="2"/>
    <x v="11"/>
    <n v="2"/>
    <s v="Calme"/>
    <x v="44"/>
    <s v="Oui"/>
    <s v="Permet de retirer des points de Rage temporaire à une cible"/>
    <s v="1 G"/>
    <s v="Charisme + Empathie"/>
    <s v="Volonté"/>
    <s v="instantané"/>
  </r>
  <r>
    <x v="2"/>
    <x v="11"/>
    <n v="2"/>
    <s v="Para bellum"/>
    <x v="45"/>
    <s v="Oui"/>
    <s v="Quand le LG est en légitime défense il deviens plus puissant au combat"/>
    <s v="1 R"/>
    <s v="n/a"/>
    <s v="n/a"/>
    <s v="1 scène"/>
  </r>
  <r>
    <x v="2"/>
    <x v="11"/>
    <n v="2"/>
    <s v="Toucher de la Grand-Mère"/>
    <x v="25"/>
    <s v="Oui"/>
    <s v="Permet de se guérir soit même"/>
    <s v="1 G"/>
    <s v="Intelligence + Empathie"/>
    <s v="Variable"/>
    <s v="instantané"/>
  </r>
  <r>
    <x v="2"/>
    <x v="11"/>
    <n v="3"/>
    <s v="Ami des esprits"/>
    <x v="44"/>
    <s v="Oui"/>
    <s v="Les esprits sont appaisés par le LG et le traitent mieux pour cela"/>
    <s v="N/A"/>
    <s v="Charisme + Empathie"/>
    <n v="7"/>
    <s v="1 scène"/>
  </r>
  <r>
    <x v="2"/>
    <x v="11"/>
    <n v="3"/>
    <s v="Calmer la bête sauvage"/>
    <x v="5"/>
    <s v="Non"/>
    <s v="Calme un LG en frénesie"/>
    <s v="1 V"/>
    <s v="Manipulation + Instinct primal"/>
    <n v="8"/>
    <s v="instantané"/>
  </r>
  <r>
    <x v="2"/>
    <x v="11"/>
    <n v="3"/>
    <s v="Eblouir"/>
    <x v="44"/>
    <s v="Oui"/>
    <s v="Retire toute envie de se battre de sa cible"/>
    <s v="N/A"/>
    <s v="Charisme + Empathie"/>
    <s v="Volonté"/>
    <s v="1 scène"/>
  </r>
  <r>
    <x v="2"/>
    <x v="11"/>
    <n v="3"/>
    <s v="Toucher de l'amant"/>
    <x v="25"/>
    <s v="Oui"/>
    <s v="Permet de guérir autrui ou de lui rendre de la Volonté ou d'annuler temporairement un dérangement"/>
    <s v="1 G"/>
    <s v="Intelligence + Medecine"/>
    <s v="Max(Rage,Volonté)"/>
    <s v="instantané"/>
  </r>
  <r>
    <x v="2"/>
    <x v="11"/>
    <n v="4"/>
    <s v="Frappe dans le Vide"/>
    <x v="34"/>
    <s v="Non"/>
    <s v="Esquive tous les coups d'un combattant"/>
    <s v="1 V"/>
    <s v="Astuce + Athlétisme"/>
    <s v="Variable"/>
    <s v="1 scène ou tant qu'il n'attaque pas"/>
  </r>
  <r>
    <x v="2"/>
    <x v="11"/>
    <n v="4"/>
    <s v="Libre depuis le premier matin"/>
    <x v="46"/>
    <s v="Oui"/>
    <m/>
    <m/>
    <m/>
    <m/>
    <m/>
  </r>
  <r>
    <x v="2"/>
    <x v="11"/>
    <n v="4"/>
    <s v="Sérénité"/>
    <x v="15"/>
    <s v="Oui"/>
    <m/>
    <m/>
    <m/>
    <m/>
    <m/>
  </r>
  <r>
    <x v="2"/>
    <x v="11"/>
    <n v="4"/>
    <s v="Vie animale"/>
    <x v="21"/>
    <s v="Non"/>
    <s v="Communication avec les animaux"/>
    <s v="N/A"/>
    <s v="n/a"/>
    <s v="n/a"/>
    <s v="permanent"/>
  </r>
  <r>
    <x v="2"/>
    <x v="11"/>
    <n v="5"/>
    <s v="Bois vivant"/>
    <x v="15"/>
    <s v="Oui"/>
    <m/>
    <m/>
    <m/>
    <m/>
    <m/>
  </r>
  <r>
    <x v="2"/>
    <x v="11"/>
    <n v="5"/>
    <s v="Halo solaire"/>
    <x v="15"/>
    <s v="Oui"/>
    <m/>
    <m/>
    <m/>
    <m/>
    <m/>
  </r>
  <r>
    <x v="2"/>
    <x v="12"/>
    <n v="1"/>
    <s v="Bond de lièvre"/>
    <x v="13"/>
    <s v="Non"/>
    <s v="Permet de faire des sauts impossibles"/>
    <s v="N/A"/>
    <s v="Force + Athlétisme"/>
    <n v="7"/>
    <s v="1 scène"/>
  </r>
  <r>
    <x v="2"/>
    <x v="12"/>
    <n v="1"/>
    <s v="Deux voix"/>
    <x v="15"/>
    <s v="Oui"/>
    <m/>
    <m/>
    <m/>
    <m/>
    <m/>
  </r>
  <r>
    <x v="2"/>
    <x v="12"/>
    <n v="1"/>
    <s v="Lumière des fées"/>
    <x v="15"/>
    <s v="Oui"/>
    <m/>
    <m/>
    <m/>
    <m/>
    <m/>
  </r>
  <r>
    <x v="2"/>
    <x v="12"/>
    <n v="1"/>
    <s v="Persuasion"/>
    <x v="3"/>
    <s v="Non"/>
    <s v="Diminution de la difficulté des jets sociaux"/>
    <s v="N/A"/>
    <s v="Charisme + Subterfuge"/>
    <n v="7"/>
    <s v="1 scène"/>
  </r>
  <r>
    <x v="2"/>
    <x v="12"/>
    <n v="1"/>
    <s v="Résistance aux toxines"/>
    <x v="10"/>
    <s v="Non"/>
    <s v="Immunité aux toxines normales (poisons, drogues, alcool, etc.)"/>
    <s v="N/A"/>
    <s v="n/a"/>
    <s v="n/a"/>
    <s v="à volonté"/>
  </r>
  <r>
    <x v="2"/>
    <x v="12"/>
    <n v="2"/>
    <s v="Dance de la flamme"/>
    <x v="15"/>
    <s v="Oui"/>
    <m/>
    <m/>
    <m/>
    <m/>
    <m/>
  </r>
  <r>
    <x v="2"/>
    <x v="12"/>
    <n v="2"/>
    <s v="Hurlement de la banshee"/>
    <x v="15"/>
    <s v="Oui"/>
    <m/>
    <m/>
    <m/>
    <m/>
    <m/>
  </r>
  <r>
    <x v="2"/>
    <x v="12"/>
    <n v="2"/>
    <s v="Hurlement de l'invisible"/>
    <x v="15"/>
    <s v="Oui"/>
    <m/>
    <m/>
    <m/>
    <m/>
    <m/>
  </r>
  <r>
    <x v="2"/>
    <x v="12"/>
    <n v="2"/>
    <s v="Maîtrise des formes"/>
    <x v="9"/>
    <s v="Non"/>
    <s v="Facilite la métamorphose"/>
    <s v="N/A"/>
    <s v="n/a"/>
    <s v="n/a"/>
    <s v="permanent"/>
  </r>
  <r>
    <x v="2"/>
    <x v="12"/>
    <n v="2"/>
    <s v="Paroles désinvoltes"/>
    <x v="15"/>
    <s v="Oui"/>
    <m/>
    <m/>
    <m/>
    <m/>
    <m/>
  </r>
  <r>
    <x v="2"/>
    <x v="12"/>
    <n v="3"/>
    <s v="Bonne fortune"/>
    <x v="15"/>
    <s v="Oui"/>
    <m/>
    <m/>
    <m/>
    <m/>
    <m/>
  </r>
  <r>
    <x v="2"/>
    <x v="12"/>
    <n v="3"/>
    <s v="Chant de la sirène"/>
    <x v="30"/>
    <s v="Non"/>
    <s v="Fascine les auditeurs jusqu'à les placer dans l'inaction"/>
    <s v="1 G"/>
    <s v="Charisme + Représentation"/>
    <s v="Variable"/>
    <s v="1 tour par réussite"/>
  </r>
  <r>
    <x v="2"/>
    <x v="12"/>
    <n v="3"/>
    <s v="Frères féeriques"/>
    <x v="15"/>
    <s v="Oui"/>
    <m/>
    <m/>
    <m/>
    <m/>
    <m/>
  </r>
  <r>
    <x v="2"/>
    <x v="12"/>
    <n v="3"/>
    <s v="Lignes telluriques"/>
    <x v="15"/>
    <s v="Oui"/>
    <m/>
    <m/>
    <m/>
    <m/>
    <m/>
  </r>
  <r>
    <x v="2"/>
    <x v="12"/>
    <n v="3"/>
    <s v="Remodeler un objet"/>
    <x v="6"/>
    <s v="Non"/>
    <s v="Change la forme d'un objet mort, jadis vivant"/>
    <s v="1 G"/>
    <s v="Manipulation + Artisanats"/>
    <s v="Variable"/>
    <s v="1 scène par réussite"/>
  </r>
  <r>
    <x v="2"/>
    <x v="12"/>
    <n v="4"/>
    <s v="Regard de Balor"/>
    <x v="15"/>
    <s v="Oui"/>
    <m/>
    <m/>
    <m/>
    <m/>
    <m/>
  </r>
  <r>
    <x v="2"/>
    <x v="12"/>
    <n v="5"/>
    <s v="Appeler la chasse"/>
    <x v="15"/>
    <s v="Oui"/>
    <m/>
    <m/>
    <m/>
    <m/>
    <m/>
  </r>
  <r>
    <x v="2"/>
    <x v="12"/>
    <n v="5"/>
    <s v="Brouillard sur la lande"/>
    <x v="15"/>
    <s v="Oui"/>
    <m/>
    <m/>
    <m/>
    <m/>
    <m/>
  </r>
  <r>
    <x v="2"/>
    <x v="12"/>
    <n v="5"/>
    <s v="Faveur du spriggan"/>
    <x v="15"/>
    <s v="Oui"/>
    <m/>
    <m/>
    <m/>
    <m/>
    <m/>
  </r>
  <r>
    <x v="2"/>
    <x v="13"/>
    <n v="1"/>
    <s v="Griffes acérées"/>
    <x v="32"/>
    <s v="Non"/>
    <s v="Aiguisse ses griffes pour faire plus mal"/>
    <s v="1 R"/>
    <s v="n/a"/>
    <s v="n/a"/>
    <s v="1 scène"/>
  </r>
  <r>
    <x v="2"/>
    <x v="13"/>
    <n v="1"/>
    <s v="Maître du feu"/>
    <x v="2"/>
    <s v="Non"/>
    <s v="Le feu fait des dégâts contondants au LG"/>
    <s v="1 G"/>
    <s v="n/a"/>
    <s v="n/a"/>
    <s v="1 scène"/>
  </r>
  <r>
    <x v="2"/>
    <x v="13"/>
    <n v="1"/>
    <s v="Réflexes foudroyants"/>
    <x v="15"/>
    <s v="Oui"/>
    <m/>
    <m/>
    <m/>
    <m/>
    <m/>
  </r>
  <r>
    <x v="2"/>
    <x v="13"/>
    <n v="1"/>
    <s v="Résistance à la douleur"/>
    <x v="10"/>
    <s v="Non"/>
    <s v="Ignore les pénalités des blessures"/>
    <s v="1 V"/>
    <s v="n/a"/>
    <s v="n/a"/>
    <s v="1 scène"/>
  </r>
  <r>
    <x v="2"/>
    <x v="13"/>
    <n v="1"/>
    <s v="Visage de Fenrir"/>
    <x v="15"/>
    <s v="Oui"/>
    <m/>
    <m/>
    <m/>
    <m/>
    <m/>
  </r>
  <r>
    <x v="2"/>
    <x v="13"/>
    <n v="2"/>
    <s v="Crocs du Nord"/>
    <x v="15"/>
    <s v="Non"/>
    <m/>
    <m/>
    <m/>
    <m/>
    <m/>
  </r>
  <r>
    <x v="2"/>
    <x v="13"/>
    <n v="2"/>
    <s v="Empêcher la fuite du lâche"/>
    <x v="15"/>
    <s v="Oui"/>
    <m/>
    <m/>
    <m/>
    <m/>
    <m/>
  </r>
  <r>
    <x v="2"/>
    <x v="13"/>
    <n v="2"/>
    <s v="Grondement du prédateur"/>
    <x v="15"/>
    <s v="Oui"/>
    <m/>
    <m/>
    <m/>
    <m/>
    <m/>
  </r>
  <r>
    <x v="2"/>
    <x v="13"/>
    <n v="2"/>
    <s v="Peau de troll"/>
    <x v="15"/>
    <s v="Oui"/>
    <m/>
    <m/>
    <m/>
    <m/>
    <m/>
  </r>
  <r>
    <x v="2"/>
    <x v="13"/>
    <n v="3"/>
    <s v="Puissance de Thor"/>
    <x v="15"/>
    <s v="Oui"/>
    <m/>
    <m/>
    <m/>
    <m/>
    <m/>
  </r>
  <r>
    <x v="2"/>
    <x v="13"/>
    <n v="3"/>
    <s v="Rediriger la douleur"/>
    <x v="15"/>
    <s v="Oui"/>
    <m/>
    <m/>
    <m/>
    <m/>
    <m/>
  </r>
  <r>
    <x v="2"/>
    <x v="13"/>
    <n v="3"/>
    <s v="Sang venimeux"/>
    <x v="15"/>
    <s v="Oui"/>
    <m/>
    <m/>
    <m/>
    <m/>
    <m/>
  </r>
  <r>
    <x v="2"/>
    <x v="13"/>
    <n v="4"/>
    <s v="Adaptation corporelle"/>
    <x v="9"/>
    <s v="Non"/>
    <s v="Redistribution d'Attributs Physiques"/>
    <s v="N/A"/>
    <s v="Vigueur + Instinct Primal"/>
    <n v="6"/>
    <s v="1 scène"/>
  </r>
  <r>
    <x v="2"/>
    <x v="13"/>
    <n v="4"/>
    <s v="Cœur de la montagne"/>
    <x v="15"/>
    <s v="Oui"/>
    <m/>
    <m/>
    <m/>
    <m/>
    <m/>
  </r>
  <r>
    <x v="2"/>
    <x v="13"/>
    <n v="4"/>
    <s v="Cri de Gaïa"/>
    <x v="15"/>
    <s v="Non"/>
    <s v="Hurlement qui projette à terre les gens"/>
    <s v="1 G"/>
    <s v="n/a"/>
    <s v="n/a"/>
    <s v="instantané"/>
  </r>
  <r>
    <x v="2"/>
    <x v="13"/>
    <n v="4"/>
    <s v="Héros inébranlable"/>
    <x v="15"/>
    <s v="Non"/>
    <s v="En refusant de partir le LG obtient des bonus à toutes ses actions physiques "/>
    <s v="N/A"/>
    <s v="Volonté"/>
    <n v="8"/>
    <s v="jusqu'à avoir vaincu de ses adversaires"/>
  </r>
  <r>
    <x v="2"/>
    <x v="13"/>
    <n v="5"/>
    <s v="Endurance de Heimdall"/>
    <x v="15"/>
    <s v="Oui"/>
    <m/>
    <m/>
    <m/>
    <m/>
    <m/>
  </r>
  <r>
    <x v="2"/>
    <x v="13"/>
    <n v="5"/>
    <s v="Horde du Valhalla"/>
    <x v="15"/>
    <s v="Oui"/>
    <m/>
    <m/>
    <m/>
    <m/>
    <m/>
  </r>
  <r>
    <x v="2"/>
    <x v="13"/>
    <n v="5"/>
    <s v="Morsure de Fenrir"/>
    <x v="15"/>
    <s v="Oui"/>
    <m/>
    <m/>
    <m/>
    <m/>
    <m/>
  </r>
  <r>
    <x v="2"/>
    <x v="13"/>
    <n v="6"/>
    <s v="Appel au Grand Fenrir"/>
    <x v="15"/>
    <s v="Oui"/>
    <m/>
    <m/>
    <m/>
    <m/>
    <m/>
  </r>
  <r>
    <x v="2"/>
    <x v="14"/>
    <n v="1"/>
    <s v="Peau d'homme"/>
    <x v="15"/>
    <s v="Oui"/>
    <m/>
    <m/>
    <m/>
    <m/>
    <m/>
  </r>
  <r>
    <x v="2"/>
    <x v="14"/>
    <n v="1"/>
    <s v="Renaissance du Kaos"/>
    <x v="15"/>
    <s v="Oui"/>
    <m/>
    <m/>
    <m/>
    <m/>
    <m/>
  </r>
  <r>
    <x v="2"/>
    <x v="14"/>
    <n v="1"/>
    <s v="Sens accrus"/>
    <x v="14"/>
    <s v="Non"/>
    <s v="Diminue la difficulté des jets de Perception"/>
    <s v="1 G"/>
    <s v="n/a"/>
    <s v="n/a"/>
    <s v="1 scène"/>
  </r>
  <r>
    <x v="2"/>
    <x v="14"/>
    <n v="1"/>
    <s v="Sentir le Ver"/>
    <x v="14"/>
    <s v="Non"/>
    <s v="Le LG peut sentir les manifestations du Ver à proximité de lui"/>
    <s v="N/A"/>
    <s v="Perception + Occultisme"/>
    <s v="Variable"/>
    <s v="instantané"/>
  </r>
  <r>
    <x v="2"/>
    <x v="14"/>
    <n v="1"/>
    <s v="Souffle du Kaos"/>
    <x v="15"/>
    <s v="Oui"/>
    <m/>
    <m/>
    <m/>
    <m/>
    <m/>
  </r>
  <r>
    <x v="2"/>
    <x v="14"/>
    <n v="2"/>
    <s v="A genoux"/>
    <x v="15"/>
    <s v="Oui"/>
    <m/>
    <m/>
    <m/>
    <m/>
    <m/>
  </r>
  <r>
    <x v="2"/>
    <x v="14"/>
    <n v="2"/>
    <s v="Langue de Kali"/>
    <x v="15"/>
    <s v="Oui"/>
    <m/>
    <m/>
    <m/>
    <m/>
    <m/>
  </r>
  <r>
    <x v="2"/>
    <x v="14"/>
    <n v="2"/>
    <s v="Maîtrise des formes"/>
    <x v="9"/>
    <s v="Non"/>
    <s v="Facilite la métamorphose"/>
    <s v="N/A"/>
    <s v="n/a"/>
    <s v="n/a"/>
    <s v="permanent"/>
  </r>
  <r>
    <x v="2"/>
    <x v="14"/>
    <n v="2"/>
    <s v="Malédiction d'Eole"/>
    <x v="15"/>
    <s v="Oui"/>
    <m/>
    <m/>
    <m/>
    <m/>
    <m/>
  </r>
  <r>
    <x v="2"/>
    <x v="14"/>
    <n v="2"/>
    <s v="Pouls de la proie"/>
    <x v="18"/>
    <s v="Non"/>
    <s v="Avec rien qu'un info triviale sur la proie le LG peut la traquer"/>
    <s v="N/A"/>
    <s v="n/a"/>
    <s v="n/a"/>
    <s v="à volonté"/>
  </r>
  <r>
    <x v="2"/>
    <x v="14"/>
    <n v="3"/>
    <s v="Agonie viscérale"/>
    <x v="15"/>
    <s v="Oui"/>
    <m/>
    <m/>
    <m/>
    <m/>
    <m/>
  </r>
  <r>
    <x v="2"/>
    <x v="14"/>
    <n v="3"/>
    <s v="Ailes de Pégase"/>
    <x v="15"/>
    <s v="Oui"/>
    <m/>
    <m/>
    <m/>
    <m/>
    <m/>
  </r>
  <r>
    <x v="2"/>
    <x v="14"/>
    <n v="3"/>
    <s v="Coup de grâce"/>
    <x v="15"/>
    <s v="Oui"/>
    <m/>
    <m/>
    <m/>
    <m/>
    <m/>
  </r>
  <r>
    <x v="2"/>
    <x v="14"/>
    <n v="3"/>
    <s v="Griffe fouisseuse"/>
    <x v="15"/>
    <s v="Oui"/>
    <m/>
    <m/>
    <m/>
    <m/>
    <m/>
  </r>
  <r>
    <x v="2"/>
    <x v="14"/>
    <n v="4"/>
    <s v="Griffes de guêpe"/>
    <x v="15"/>
    <s v="Oui"/>
    <m/>
    <m/>
    <m/>
    <m/>
    <m/>
  </r>
  <r>
    <x v="2"/>
    <x v="14"/>
    <n v="4"/>
    <s v="Supplice"/>
    <x v="15"/>
    <s v="Oui"/>
    <m/>
    <m/>
    <m/>
    <m/>
    <m/>
  </r>
  <r>
    <x v="2"/>
    <x v="14"/>
    <n v="4"/>
    <s v="Vie animale"/>
    <x v="21"/>
    <s v="Non"/>
    <s v="Communication avec les animaux"/>
    <s v="N/A"/>
    <s v="n/a"/>
    <s v="n/a"/>
    <s v="permanent"/>
  </r>
  <r>
    <x v="2"/>
    <x v="14"/>
    <n v="5"/>
    <s v="Mille formes"/>
    <x v="9"/>
    <s v="Non"/>
    <s v="Transformation en animaux réels ou fictifs"/>
    <s v="1 G"/>
    <s v="Intelligence + Animaux"/>
    <n v="6"/>
    <s v="1 scène"/>
  </r>
  <r>
    <x v="2"/>
    <x v="14"/>
    <n v="5"/>
    <s v="Regarde la Gorgone"/>
    <x v="15"/>
    <s v="Oui"/>
    <m/>
    <m/>
    <m/>
    <m/>
    <m/>
  </r>
  <r>
    <x v="2"/>
    <x v="14"/>
    <n v="5"/>
    <s v="Tourbillon du Kaos"/>
    <x v="15"/>
    <s v="Oui"/>
    <m/>
    <m/>
    <m/>
    <m/>
    <m/>
  </r>
  <r>
    <x v="2"/>
    <x v="15"/>
    <n v="1"/>
    <s v="Langage des animaux"/>
    <x v="15"/>
    <s v="Oui"/>
    <m/>
    <m/>
    <m/>
    <m/>
    <m/>
  </r>
  <r>
    <x v="2"/>
    <x v="15"/>
    <n v="1"/>
    <s v="Loup à la porte"/>
    <x v="15"/>
    <s v="Oui"/>
    <m/>
    <m/>
    <m/>
    <m/>
    <m/>
  </r>
  <r>
    <x v="2"/>
    <x v="15"/>
    <n v="1"/>
    <s v="Odeur de l'eau vive"/>
    <x v="16"/>
    <s v="Non"/>
    <s v="Le LG peut masquer son odeur"/>
    <s v="N/A"/>
    <s v="n/a"/>
    <s v="n/a"/>
    <s v="permanent"/>
  </r>
  <r>
    <x v="2"/>
    <x v="15"/>
    <n v="1"/>
    <s v="Œil du chasseur"/>
    <x v="15"/>
    <s v="Oui"/>
    <m/>
    <m/>
    <m/>
    <m/>
    <m/>
  </r>
  <r>
    <x v="2"/>
    <x v="15"/>
    <n v="1"/>
    <s v="Tueur caché"/>
    <x v="15"/>
    <s v="Oui"/>
    <m/>
    <m/>
    <m/>
    <m/>
    <m/>
  </r>
  <r>
    <x v="2"/>
    <x v="15"/>
    <n v="2"/>
    <s v="Esprit animal"/>
    <x v="15"/>
    <s v="Oui"/>
    <m/>
    <m/>
    <m/>
    <m/>
    <m/>
  </r>
  <r>
    <x v="2"/>
    <x v="15"/>
    <n v="2"/>
    <s v="Hurlements dans la nuit"/>
    <x v="15"/>
    <s v="Non"/>
    <s v="Réveille les créatures du Ver les empêche de se rendormir"/>
    <s v="1 G"/>
    <s v="Charisme + Instinct Primal"/>
    <n v="6"/>
    <s v="3 heures par réussite"/>
  </r>
  <r>
    <x v="2"/>
    <x v="15"/>
    <n v="2"/>
    <s v="Ombres de l'Impergium"/>
    <x v="15"/>
    <s v="Oui"/>
    <m/>
    <m/>
    <m/>
    <m/>
    <m/>
  </r>
  <r>
    <x v="2"/>
    <x v="15"/>
    <n v="2"/>
    <s v="Pouls de la proie"/>
    <x v="18"/>
    <s v="Non"/>
    <s v="Avec rien qu'un info triviale sur la proie le LG peut la traquer"/>
    <s v="N/A"/>
    <s v="n/a"/>
    <s v="n/a"/>
    <s v="à volonté"/>
  </r>
  <r>
    <x v="2"/>
    <x v="15"/>
    <n v="3"/>
    <s v="Décomposer"/>
    <x v="15"/>
    <s v="Oui"/>
    <m/>
    <m/>
    <m/>
    <m/>
    <m/>
  </r>
  <r>
    <x v="2"/>
    <x v="15"/>
    <n v="3"/>
    <s v="Désolation perdue"/>
    <x v="15"/>
    <s v="Oui"/>
    <m/>
    <m/>
    <m/>
    <m/>
    <m/>
  </r>
  <r>
    <x v="2"/>
    <x v="15"/>
    <n v="3"/>
    <s v="Faveur élémentaire"/>
    <x v="2"/>
    <s v="Non"/>
    <s v="Peut convaincre un esprit élémentaire de modifier ou détruire sa forme terrestre"/>
    <s v="N/A"/>
    <s v="Charisme + Subterfuge"/>
    <n v="7"/>
    <s v="instantané"/>
  </r>
  <r>
    <x v="2"/>
    <x v="15"/>
    <n v="3"/>
    <s v="Territoire"/>
    <x v="15"/>
    <s v="Oui"/>
    <m/>
    <m/>
    <m/>
    <m/>
    <m/>
  </r>
  <r>
    <x v="2"/>
    <x v="15"/>
    <n v="4"/>
    <s v="Gavage"/>
    <x v="15"/>
    <s v="Oui"/>
    <m/>
    <m/>
    <m/>
    <m/>
    <m/>
  </r>
  <r>
    <x v="2"/>
    <x v="15"/>
    <n v="4"/>
    <s v="Hurlement mortel"/>
    <x v="15"/>
    <s v="Oui"/>
    <m/>
    <m/>
    <m/>
    <m/>
    <m/>
  </r>
  <r>
    <x v="2"/>
    <x v="15"/>
    <n v="4"/>
    <s v="Sables mouvants"/>
    <x v="15"/>
    <s v="Oui"/>
    <m/>
    <m/>
    <m/>
    <m/>
    <m/>
  </r>
  <r>
    <x v="2"/>
    <x v="15"/>
    <n v="5"/>
    <s v="Malédiction de l'arpenteur d'escarre"/>
    <x v="15"/>
    <s v="Oui"/>
    <m/>
    <m/>
    <m/>
    <m/>
    <m/>
  </r>
  <r>
    <x v="2"/>
    <x v="15"/>
    <n v="5"/>
    <s v="Malédiction de Lycaon"/>
    <x v="15"/>
    <s v="Oui"/>
    <m/>
    <m/>
    <m/>
    <m/>
    <m/>
  </r>
  <r>
    <x v="2"/>
    <x v="15"/>
    <n v="5"/>
    <s v="Vengeance de Gaïa"/>
    <x v="15"/>
    <s v="Oui"/>
    <m/>
    <m/>
    <m/>
    <m/>
    <m/>
  </r>
  <r>
    <x v="2"/>
    <x v="15"/>
    <n v="6"/>
    <s v="Bouclier de Gaïa"/>
    <x v="15"/>
    <s v="Oui"/>
    <m/>
    <m/>
    <m/>
    <m/>
    <m/>
  </r>
  <r>
    <x v="2"/>
    <x v="16"/>
    <n v="1"/>
    <s v="As de la gâchette"/>
    <x v="7"/>
    <s v="Oui"/>
    <m/>
    <m/>
    <m/>
    <m/>
    <m/>
  </r>
  <r>
    <x v="2"/>
    <x v="16"/>
    <n v="1"/>
    <s v="Contrôle des machines simples"/>
    <x v="4"/>
    <s v="Oui"/>
    <m/>
    <m/>
    <m/>
    <m/>
    <m/>
  </r>
  <r>
    <x v="2"/>
    <x v="16"/>
    <n v="1"/>
    <s v="Diagnostiques"/>
    <x v="4"/>
    <s v="Oui"/>
    <m/>
    <m/>
    <m/>
    <m/>
    <m/>
  </r>
  <r>
    <x v="2"/>
    <x v="16"/>
    <n v="1"/>
    <s v="Persuasion"/>
    <x v="3"/>
    <s v="Non"/>
    <s v="Diminution de la difficulté des jets sociaux"/>
    <s v="N/A"/>
    <s v="Charisme + Subterfuge"/>
    <n v="7"/>
    <s v="1 scène"/>
  </r>
  <r>
    <x v="2"/>
    <x v="16"/>
    <n v="1"/>
    <s v="Plug and Play"/>
    <x v="4"/>
    <s v="Oui"/>
    <m/>
    <m/>
    <m/>
    <m/>
    <m/>
  </r>
  <r>
    <x v="2"/>
    <x v="16"/>
    <n v="2"/>
    <s v="Cybersens"/>
    <x v="4"/>
    <s v="Oui"/>
    <m/>
    <m/>
    <m/>
    <m/>
    <m/>
  </r>
  <r>
    <x v="2"/>
    <x v="16"/>
    <n v="2"/>
    <s v="Détraquage"/>
    <x v="4"/>
    <s v="Non"/>
    <s v="Les objets technologiques cessent de fonctionner"/>
    <s v="1 G"/>
    <s v="Manipulation + Artisanats"/>
    <s v="Variable"/>
    <s v="2 tours par réussite"/>
  </r>
  <r>
    <x v="2"/>
    <x v="16"/>
    <n v="2"/>
    <s v="Fourrure d'acier"/>
    <x v="15"/>
    <s v="Oui"/>
    <m/>
    <m/>
    <m/>
    <m/>
    <m/>
  </r>
  <r>
    <x v="2"/>
    <x v="16"/>
    <n v="2"/>
    <s v="Mains pleines de tonerre"/>
    <x v="7"/>
    <s v="Oui"/>
    <m/>
    <m/>
    <m/>
    <m/>
    <m/>
  </r>
  <r>
    <x v="2"/>
    <x v="16"/>
    <n v="2"/>
    <s v="Surtension"/>
    <x v="4"/>
    <s v="Oui"/>
    <m/>
    <m/>
    <m/>
    <m/>
    <m/>
  </r>
  <r>
    <x v="2"/>
    <x v="16"/>
    <n v="3"/>
    <s v="Contrôle des machines complexes"/>
    <x v="4"/>
    <s v="Oui"/>
    <m/>
    <m/>
    <m/>
    <m/>
    <m/>
  </r>
  <r>
    <x v="2"/>
    <x v="16"/>
    <n v="3"/>
    <s v="Electrochoc"/>
    <x v="15"/>
    <s v="Oui"/>
    <m/>
    <m/>
    <m/>
    <m/>
    <m/>
  </r>
  <r>
    <x v="2"/>
    <x v="16"/>
    <n v="3"/>
    <s v="Faveur élémentaire"/>
    <x v="2"/>
    <s v="Non"/>
    <s v="Peut convaincre un esprit élémentaire de modifier ou détruire sa forme terrestre"/>
    <s v="N/A"/>
    <s v="Charisme + Subterfuge"/>
    <n v="7"/>
    <s v="instantané"/>
  </r>
  <r>
    <x v="2"/>
    <x v="16"/>
    <n v="3"/>
    <s v="Intrusion"/>
    <x v="15"/>
    <s v="Oui"/>
    <m/>
    <m/>
    <m/>
    <m/>
    <m/>
  </r>
  <r>
    <x v="2"/>
    <x v="16"/>
    <n v="4"/>
    <s v="Chevaucheur du signal"/>
    <x v="15"/>
    <s v="Oui"/>
    <m/>
    <m/>
    <m/>
    <m/>
    <m/>
  </r>
  <r>
    <x v="2"/>
    <x v="16"/>
    <n v="4"/>
    <s v="Dopplegänger"/>
    <x v="15"/>
    <s v="Oui"/>
    <m/>
    <m/>
    <m/>
    <m/>
    <m/>
  </r>
  <r>
    <x v="2"/>
    <x v="16"/>
    <n v="4"/>
    <s v="Syntonie"/>
    <x v="17"/>
    <s v="Non"/>
    <s v="Permet d'obtenir des infos des esprits de la nature OU de la ville"/>
    <s v="1 G"/>
    <s v="Perception + Connaissance de la rue (urbain)_x000a_Perception + Survie (sauvage)"/>
    <n v="6"/>
    <s v="instantané"/>
  </r>
  <r>
    <x v="2"/>
    <x v="16"/>
    <n v="4"/>
    <s v="Technoparole"/>
    <x v="4"/>
    <s v="Oui"/>
    <m/>
    <m/>
    <m/>
    <m/>
    <m/>
  </r>
  <r>
    <x v="2"/>
    <x v="16"/>
    <n v="5"/>
    <s v="Invocation d'Araignée du réseau"/>
    <x v="4"/>
    <s v="Oui"/>
    <m/>
    <m/>
    <m/>
    <m/>
    <m/>
  </r>
  <r>
    <x v="2"/>
    <x v="16"/>
    <n v="5"/>
    <s v="Mécanique du Kaos"/>
    <x v="15"/>
    <s v="Oui"/>
    <m/>
    <m/>
    <m/>
    <m/>
    <m/>
  </r>
  <r>
    <x v="2"/>
    <x v="17"/>
    <n v="1"/>
    <s v="Cuisine"/>
    <x v="38"/>
    <s v="Oui"/>
    <m/>
    <m/>
    <m/>
    <m/>
    <m/>
  </r>
  <r>
    <x v="2"/>
    <x v="17"/>
    <n v="1"/>
    <s v="Force du désespoir"/>
    <x v="15"/>
    <s v="Oui"/>
    <m/>
    <m/>
    <m/>
    <m/>
    <m/>
  </r>
  <r>
    <x v="2"/>
    <x v="17"/>
    <n v="1"/>
    <s v="Odeur mielleuse"/>
    <x v="15"/>
    <s v="Oui"/>
    <m/>
    <m/>
    <m/>
    <m/>
    <m/>
  </r>
  <r>
    <x v="2"/>
    <x v="17"/>
    <n v="1"/>
    <s v="Récupérateur"/>
    <x v="15"/>
    <s v="Oui"/>
    <m/>
    <m/>
    <m/>
    <m/>
    <m/>
  </r>
  <r>
    <x v="2"/>
    <x v="17"/>
    <n v="1"/>
    <s v="Résistance aux toxines"/>
    <x v="10"/>
    <s v="Non"/>
    <s v="Immunité aux toxines normales (poisons, drogues, alcool, etc.)"/>
    <s v="N/A"/>
    <s v="n/a"/>
    <s v="n/a"/>
    <s v="à volonté"/>
  </r>
  <r>
    <x v="2"/>
    <x v="17"/>
    <n v="2"/>
    <s v="Arôme ignoble"/>
    <x v="15"/>
    <s v="Oui"/>
    <m/>
    <m/>
    <m/>
    <m/>
    <m/>
  </r>
  <r>
    <x v="2"/>
    <x v="17"/>
    <n v="2"/>
    <s v="Entre les fissures"/>
    <x v="15"/>
    <s v="Oui"/>
    <m/>
    <m/>
    <m/>
    <m/>
    <m/>
  </r>
  <r>
    <x v="2"/>
    <x v="17"/>
    <n v="2"/>
    <s v="Férocité du rat acculé"/>
    <x v="15"/>
    <s v="Oui"/>
    <m/>
    <m/>
    <m/>
    <m/>
    <m/>
  </r>
  <r>
    <x v="2"/>
    <x v="17"/>
    <n v="2"/>
    <s v="Ignorance bénie"/>
    <x v="16"/>
    <s v="Non"/>
    <s v="Invisiblité tant qu'il est immobile"/>
    <s v="N/A"/>
    <s v="Vigueur + Furtivité"/>
    <n v="5"/>
    <s v="tant qu'il est immobile"/>
  </r>
  <r>
    <x v="2"/>
    <x v="17"/>
    <n v="2"/>
    <s v="Masque du Molosse"/>
    <x v="15"/>
    <s v="Oui"/>
    <m/>
    <m/>
    <m/>
    <m/>
    <m/>
  </r>
  <r>
    <x v="2"/>
    <x v="17"/>
    <n v="3"/>
    <s v="Appeler la rouille"/>
    <x v="15"/>
    <s v="Oui"/>
    <m/>
    <m/>
    <m/>
    <m/>
    <m/>
  </r>
  <r>
    <x v="2"/>
    <x v="17"/>
    <n v="3"/>
    <s v="Bénédiction du putois"/>
    <x v="15"/>
    <s v="Oui"/>
    <m/>
    <m/>
    <m/>
    <m/>
    <m/>
  </r>
  <r>
    <x v="2"/>
    <x v="17"/>
    <n v="3"/>
    <s v="Bénédiction du termite"/>
    <x v="15"/>
    <s v="Oui"/>
    <m/>
    <m/>
    <m/>
    <m/>
    <m/>
  </r>
  <r>
    <x v="2"/>
    <x v="17"/>
    <n v="3"/>
    <s v="Remodeler un objet"/>
    <x v="6"/>
    <s v="Non"/>
    <s v="Change la forme d'un objet mort, jadis vivant"/>
    <s v="1 G"/>
    <s v="Manipulation + Artisanats"/>
    <s v="Variable"/>
    <s v="1 scène par réussite"/>
  </r>
  <r>
    <x v="2"/>
    <x v="17"/>
    <n v="3"/>
    <s v="Rire de la hyène"/>
    <x v="15"/>
    <s v="Oui"/>
    <m/>
    <m/>
    <m/>
    <m/>
    <m/>
  </r>
  <r>
    <x v="2"/>
    <x v="17"/>
    <n v="4"/>
    <s v="En un clin d'œil"/>
    <x v="15"/>
    <s v="Oui"/>
    <m/>
    <m/>
    <m/>
    <m/>
    <m/>
  </r>
  <r>
    <x v="2"/>
    <x v="17"/>
    <n v="4"/>
    <s v="Infestation"/>
    <x v="15"/>
    <s v="Oui"/>
    <m/>
    <m/>
    <m/>
    <m/>
    <m/>
  </r>
  <r>
    <x v="2"/>
    <x v="17"/>
    <n v="4"/>
    <s v="Syntonie"/>
    <x v="17"/>
    <s v="Non"/>
    <s v="Permet d'obtenir des infos des esprits de la nature OU de la ville"/>
    <s v="1 G"/>
    <s v="Perception + Connaissance de la rue (urbain)_x000a_Perception + Survie (sauvage)"/>
    <n v="6"/>
    <s v="instantané"/>
  </r>
  <r>
    <x v="2"/>
    <x v="17"/>
    <n v="5"/>
    <s v="Emeute"/>
    <x v="15"/>
    <s v="Oui"/>
    <m/>
    <m/>
    <m/>
    <m/>
    <m/>
  </r>
  <r>
    <x v="2"/>
    <x v="17"/>
    <n v="5"/>
    <s v="Survivant"/>
    <x v="38"/>
    <s v="Oui"/>
    <m/>
    <m/>
    <m/>
    <m/>
    <m/>
  </r>
  <r>
    <x v="2"/>
    <x v="18"/>
    <n v="1"/>
    <s v="Attrape-murmures"/>
    <x v="15"/>
    <s v="Oui"/>
    <m/>
    <m/>
    <m/>
    <m/>
    <m/>
  </r>
  <r>
    <x v="2"/>
    <x v="18"/>
    <n v="1"/>
    <s v="Aura de confiance"/>
    <x v="15"/>
    <s v="Oui"/>
    <m/>
    <m/>
    <m/>
    <m/>
    <m/>
  </r>
  <r>
    <x v="2"/>
    <x v="18"/>
    <n v="1"/>
    <s v="Défaut fatal"/>
    <x v="15"/>
    <s v="Oui"/>
    <m/>
    <m/>
    <m/>
    <m/>
    <m/>
  </r>
  <r>
    <x v="2"/>
    <x v="18"/>
    <n v="1"/>
    <s v="Saisir l'avantage"/>
    <x v="15"/>
    <s v="Oui"/>
    <m/>
    <m/>
    <m/>
    <m/>
    <m/>
  </r>
  <r>
    <x v="2"/>
    <x v="18"/>
    <n v="1"/>
    <s v="Tissage des ombres"/>
    <x v="15"/>
    <s v="Oui"/>
    <m/>
    <m/>
    <m/>
    <m/>
    <m/>
  </r>
  <r>
    <x v="2"/>
    <x v="18"/>
    <n v="2"/>
    <s v="Armure de Luna"/>
    <x v="10"/>
    <s v="Non"/>
    <s v="Augmente l'absorption des dégâts"/>
    <s v="1 G"/>
    <s v="Vigueur + Survie"/>
    <n v="6"/>
    <s v="1 scène"/>
  </r>
  <r>
    <x v="2"/>
    <x v="18"/>
    <n v="2"/>
    <s v="Chant de la Terre Mère"/>
    <x v="15"/>
    <s v="Oui"/>
    <m/>
    <m/>
    <m/>
    <m/>
    <m/>
  </r>
  <r>
    <x v="2"/>
    <x v="18"/>
    <n v="2"/>
    <s v="Coup de tonnerre"/>
    <x v="15"/>
    <s v="Oui"/>
    <m/>
    <m/>
    <m/>
    <m/>
    <m/>
  </r>
  <r>
    <x v="2"/>
    <x v="18"/>
    <n v="2"/>
    <s v="Froide voix de la raison"/>
    <x v="15"/>
    <s v="Oui"/>
    <m/>
    <m/>
    <m/>
    <m/>
    <m/>
  </r>
  <r>
    <x v="2"/>
    <x v="18"/>
    <n v="2"/>
    <s v="Hurlements dans la nuit"/>
    <x v="15"/>
    <s v="Non"/>
    <s v="Réveille les créatures du Ver les empêche de se rendormir"/>
    <s v="1 G"/>
    <s v="Charisme + Instinct Primal"/>
    <n v="6"/>
    <s v="3 heures par réussite"/>
  </r>
  <r>
    <x v="2"/>
    <x v="18"/>
    <n v="3"/>
    <s v="Condamné au peloton"/>
    <x v="15"/>
    <s v="Oui"/>
    <m/>
    <m/>
    <m/>
    <m/>
    <m/>
  </r>
  <r>
    <x v="2"/>
    <x v="18"/>
    <n v="3"/>
    <s v="Diriger la tempête"/>
    <x v="15"/>
    <s v="Oui"/>
    <m/>
    <m/>
    <m/>
    <m/>
    <m/>
  </r>
  <r>
    <x v="2"/>
    <x v="18"/>
    <n v="3"/>
    <s v="Frisson glacé du désespoir"/>
    <x v="15"/>
    <s v="Oui"/>
    <m/>
    <m/>
    <m/>
    <m/>
    <m/>
  </r>
  <r>
    <x v="2"/>
    <x v="18"/>
    <n v="3"/>
    <s v="Regard paralysant"/>
    <x v="15"/>
    <s v="Oui"/>
    <m/>
    <m/>
    <m/>
    <m/>
    <m/>
  </r>
  <r>
    <x v="2"/>
    <x v="18"/>
    <n v="3"/>
    <s v="Trancher l'ombre"/>
    <x v="15"/>
    <s v="Oui"/>
    <m/>
    <m/>
    <m/>
    <m/>
    <m/>
  </r>
  <r>
    <x v="2"/>
    <x v="18"/>
    <n v="4"/>
    <s v="Blessures ouvertes"/>
    <x v="15"/>
    <s v="Oui"/>
    <m/>
    <m/>
    <m/>
    <m/>
    <m/>
  </r>
  <r>
    <x v="2"/>
    <x v="18"/>
    <n v="4"/>
    <s v="Force du dominant"/>
    <x v="15"/>
    <s v="Oui"/>
    <m/>
    <m/>
    <m/>
    <m/>
    <m/>
  </r>
  <r>
    <x v="2"/>
    <x v="18"/>
    <n v="4"/>
    <s v="Longue peine"/>
    <x v="47"/>
    <s v="Non"/>
    <s v="Permet d'utiliser plusieurs fois le même talen"/>
    <s v="1 G"/>
    <s v="n/a"/>
    <s v="n/a"/>
    <s v="reflexe"/>
  </r>
  <r>
    <x v="2"/>
    <x v="18"/>
    <n v="5"/>
    <s v="Meute d'ombre"/>
    <x v="15"/>
    <s v="Oui"/>
    <m/>
    <m/>
    <m/>
    <m/>
    <m/>
  </r>
  <r>
    <x v="2"/>
    <x v="18"/>
    <n v="5"/>
    <s v="Obéissance"/>
    <x v="26"/>
    <s v="Oui"/>
    <m/>
    <m/>
    <m/>
    <m/>
    <m/>
  </r>
  <r>
    <x v="2"/>
    <x v="19"/>
    <n v="1"/>
    <s v="Esprit du lézard"/>
    <x v="13"/>
    <s v="Oui"/>
    <s v="Permet d'escalader les parois comme spider man"/>
    <s v="1 G"/>
    <s v="n/a"/>
    <s v="n/a"/>
    <s v="1 scène"/>
  </r>
  <r>
    <x v="2"/>
    <x v="19"/>
    <n v="1"/>
    <s v="Langage des esprits"/>
    <x v="17"/>
    <s v="Non"/>
    <s v="Permet de parler aux esprits"/>
    <s v="N/A"/>
    <s v="n/a"/>
    <s v="n/a"/>
    <s v="permanent"/>
  </r>
  <r>
    <x v="2"/>
    <x v="19"/>
    <n v="1"/>
    <s v="Linceul"/>
    <x v="15"/>
    <s v="Oui"/>
    <s v="Plonge une zone dans un noir d'encre où lui seul peut voir"/>
    <s v="N/A"/>
    <s v="Gnose"/>
    <s v="Variable"/>
    <s v="1 scène"/>
  </r>
  <r>
    <x v="2"/>
    <x v="19"/>
    <n v="1"/>
    <s v="Sentir la Magie"/>
    <x v="14"/>
    <s v="Oui"/>
    <s v="Detecte la présence de magie, mais n'en a pas beaucoup d'infos"/>
    <s v="N/A"/>
    <s v="Perception + Enigmes"/>
    <s v="Variable"/>
    <s v="instantané"/>
  </r>
  <r>
    <x v="2"/>
    <x v="19"/>
    <n v="1"/>
    <s v="Sentir le Ver"/>
    <x v="14"/>
    <s v="Non"/>
    <s v="Le LG peut sentir les manifestations du Ver à proximité de lui"/>
    <s v="N/A"/>
    <s v="Perception + Occultisme"/>
    <s v="Variable"/>
    <s v="instantané"/>
  </r>
  <r>
    <x v="2"/>
    <x v="19"/>
    <n v="2"/>
    <s v="Appel du fétiche"/>
    <x v="47"/>
    <s v="Oui"/>
    <s v="Peut récupérer ses Fétiches dans divers contenants"/>
    <s v="1 G"/>
    <s v="n/a"/>
    <s v="n/a"/>
    <s v="instantané"/>
  </r>
  <r>
    <x v="2"/>
    <x v="19"/>
    <n v="2"/>
    <s v="Esprit de l'oiseau"/>
    <x v="13"/>
    <s v="Oui"/>
    <s v="Permet de voler légérement"/>
    <s v="1 G"/>
    <s v="n/a"/>
    <s v="n/a"/>
    <s v="1 scène"/>
  </r>
  <r>
    <x v="2"/>
    <x v="19"/>
    <n v="2"/>
    <s v="Esprit du poisson"/>
    <x v="13"/>
    <s v="Oui"/>
    <s v="Peut respirer sous l'eau et nager aussi vite qu'il cours"/>
    <s v="1 G"/>
    <s v="Vigueur + Animaux"/>
    <s v="n/a"/>
    <s v="1 scène"/>
  </r>
  <r>
    <x v="2"/>
    <x v="19"/>
    <n v="2"/>
    <s v="Invocation du constrictor"/>
    <x v="22"/>
    <s v="Oui"/>
    <s v="Fais surgir des &quot;tentacules-boa&quot; qu·il peut utiliser pour attaquer"/>
    <s v="N/A"/>
    <s v="Dextérité + Occultisme"/>
    <n v="7"/>
    <s v="1 scène"/>
  </r>
  <r>
    <x v="2"/>
    <x v="19"/>
    <n v="2"/>
    <s v="Ombres à l'aube"/>
    <x v="23"/>
    <s v="Oui"/>
    <s v="Permet de faire oublier une information qu'il a donné à son interlocuteur lors du prochain lever de soleil"/>
    <s v="N/A"/>
    <s v="Astuce + Subterfuge"/>
    <s v="Astuce + Subterfuge"/>
    <s v="instantané"/>
  </r>
  <r>
    <x v="2"/>
    <x v="19"/>
    <n v="3"/>
    <s v="Bannissement de totem"/>
    <x v="22"/>
    <s v="Oui"/>
    <s v="Empêche les totems de venir en aide à leurs protégés"/>
    <s v="1 G +_x000a_1 V"/>
    <s v="Gnose"/>
    <s v="Historique Totem"/>
    <s v="instantané"/>
  </r>
  <r>
    <x v="2"/>
    <x v="19"/>
    <n v="3"/>
    <s v="Chaînes brumeuses"/>
    <x v="22"/>
    <s v="Oui"/>
    <s v="Invoque un brouillard qui affaiblit les esprits ciblés"/>
    <s v="1 G"/>
    <s v="Dextérité + Enigmes"/>
    <n v="7"/>
    <s v="1 scène"/>
  </r>
  <r>
    <x v="2"/>
    <x v="19"/>
    <n v="3"/>
    <s v="Divination"/>
    <x v="14"/>
    <s v="Oui"/>
    <s v="Permet de voir un lieu distant dans un reflet"/>
    <s v="1 G"/>
    <s v="Perception + Occultisme"/>
    <s v="10 ou 8"/>
    <s v="1 scène"/>
  </r>
  <r>
    <x v="2"/>
    <x v="19"/>
    <n v="3"/>
    <s v="Invisibilité"/>
    <x v="16"/>
    <s v="Oui"/>
    <s v="Deviens invisible"/>
    <s v="1 G"/>
    <s v="Intelligence + Occultisme"/>
    <s v="Variable"/>
    <s v="1 scène"/>
  </r>
  <r>
    <x v="2"/>
    <x v="19"/>
    <n v="3"/>
    <s v="Négation"/>
    <x v="15"/>
    <s v="Oui"/>
    <s v="Après avoir griffé sa cible il peut mettre fin à l'effet d'un pouvoir affectant sa cible"/>
    <s v="1 V"/>
    <s v="n/a"/>
    <s v="n/a"/>
    <s v="instantané"/>
  </r>
  <r>
    <x v="2"/>
    <x v="19"/>
    <n v="4"/>
    <s v="Invocation élémentaire"/>
    <x v="48"/>
    <s v="Oui"/>
    <s v="Fait venir à lui un esprit élémentaire"/>
    <s v="1 G"/>
    <s v="Gnose"/>
    <s v="Goulet"/>
    <s v="1 scène"/>
  </r>
  <r>
    <x v="2"/>
    <x v="19"/>
    <n v="4"/>
    <s v="Longue peine"/>
    <x v="47"/>
    <s v="Non"/>
    <s v="Permet d'utiliser plusieurs fois le même talen"/>
    <s v="1 G"/>
    <s v="n/a"/>
    <s v="n/a"/>
    <s v="reflexe"/>
  </r>
  <r>
    <x v="2"/>
    <x v="19"/>
    <n v="4"/>
    <s v="Main des seigneurs de la Terre"/>
    <x v="2"/>
    <s v="Oui"/>
    <s v="Peut soulever un objet d'une tonne d'un simple geste"/>
    <s v="1 G"/>
    <s v="Dextérité + Occultisme"/>
    <n v="7"/>
    <s v="1 tour par réussite"/>
  </r>
  <r>
    <x v="2"/>
    <x v="19"/>
    <n v="5"/>
    <s v="Fruits de l'imagination"/>
    <x v="22"/>
    <s v="Non"/>
    <s v="Création d'êtres vivants"/>
    <s v="N/A"/>
    <s v="Intelligence + Représentation"/>
    <n v="8"/>
    <s v="1 scène par 1 Gnose"/>
  </r>
  <r>
    <x v="2"/>
    <x v="19"/>
    <n v="5"/>
    <s v="Poupée fétiche"/>
    <x v="47"/>
    <s v="Oui"/>
    <s v="poupé voudou"/>
    <s v="N/A"/>
    <s v="Perception + Artisanats"/>
    <n v="8"/>
    <s v="10 points de dégâts max"/>
  </r>
  <r>
    <x v="2"/>
    <x v="20"/>
    <n v="1"/>
    <s v="Appel de la Brise"/>
    <x v="49"/>
    <s v="Oui"/>
    <s v="Invoque un fort vent froid"/>
    <s v="N/A"/>
    <s v="n/a"/>
    <s v="n/a"/>
    <s v="1 scène"/>
  </r>
  <r>
    <x v="2"/>
    <x v="20"/>
    <n v="1"/>
    <s v="Battement du cœur-tambour"/>
    <x v="50"/>
    <s v="Oui"/>
    <s v="Peut entendre les battements de coeur de sa proie, rendant la traque plus simple"/>
    <s v="1 G"/>
    <s v="Perception + Survie "/>
    <n v="7"/>
    <s v="1 jour par réussite"/>
  </r>
  <r>
    <x v="2"/>
    <x v="20"/>
    <n v="1"/>
    <s v="Camouflage"/>
    <x v="16"/>
    <s v="Oui"/>
    <s v="Plus dur à repérer dans la nature"/>
    <s v="N/A"/>
    <s v="n/a"/>
    <s v="n/a"/>
    <s v="permanent"/>
  </r>
  <r>
    <x v="2"/>
    <x v="20"/>
    <n v="1"/>
    <s v="Echo de la glace"/>
    <x v="22"/>
    <s v="Oui"/>
    <s v="Créé un reflet (hologramme) parfait de lui-même qu'il peut contrôler"/>
    <s v="1 G"/>
    <s v="n/a"/>
    <s v="n/a"/>
    <s v="1 scène"/>
  </r>
  <r>
    <x v="2"/>
    <x v="20"/>
    <n v="1"/>
    <s v="Résistance à la douleur"/>
    <x v="10"/>
    <s v="Non"/>
    <s v="Ignore les pénalités des blessures"/>
    <s v="1 V"/>
    <s v="n/a"/>
    <s v="n/a"/>
    <s v="1 scène"/>
  </r>
  <r>
    <x v="2"/>
    <x v="20"/>
    <n v="2"/>
    <s v="Crocs du Nord"/>
    <x v="15"/>
    <s v="Non"/>
    <m/>
    <m/>
    <m/>
    <m/>
    <m/>
  </r>
  <r>
    <x v="2"/>
    <x v="20"/>
    <n v="2"/>
    <s v="Nage du saumon"/>
    <x v="13"/>
    <s v="Oui"/>
    <s v="Peut nager vite ou marcher sur l'eau. Seuls les corps d'eau douce naturels comptent"/>
    <s v="1 G"/>
    <s v="Dextérité + Athlétisme"/>
    <n v="7"/>
    <s v="1 scène"/>
  </r>
  <r>
    <x v="2"/>
    <x v="20"/>
    <n v="2"/>
    <s v="Parler aux esprits du vent"/>
    <x v="51"/>
    <s v="Oui"/>
    <s v="Peut parler aux esprits du vent et leur poser une question sur l'entourage"/>
    <s v="N/A"/>
    <s v="n/a"/>
    <s v="n/a"/>
    <s v="permanent"/>
  </r>
  <r>
    <x v="2"/>
    <x v="20"/>
    <n v="2"/>
    <s v="Vent tranchant"/>
    <x v="49"/>
    <s v="Oui"/>
    <s v="Comme Appel de la Brise mais en plus fort"/>
    <s v="1 V"/>
    <s v="n/a"/>
    <s v="n/a"/>
    <s v="1 scène"/>
  </r>
  <r>
    <x v="2"/>
    <x v="20"/>
    <n v="2"/>
    <s v="Vraie peur"/>
    <x v="36"/>
    <s v="Non"/>
    <s v="Paralyse sa proie de peur"/>
    <s v="N/A"/>
    <s v="Force + Intimidation"/>
    <s v="Variable"/>
    <s v="1 tour par réussite"/>
  </r>
  <r>
    <x v="2"/>
    <x v="20"/>
    <n v="3"/>
    <s v="Coureur céleste"/>
    <x v="15"/>
    <s v="Oui"/>
    <s v="Permet de courir dans les airs en laissant une trainée de feu derrière"/>
    <s v="1 V"/>
    <s v="n/a"/>
    <s v="n/a"/>
    <s v="1 scène ou à l'arrêt"/>
  </r>
  <r>
    <x v="2"/>
    <x v="20"/>
    <n v="3"/>
    <s v="Festin sanglant"/>
    <x v="50"/>
    <s v="Oui"/>
    <s v="Le LG peut puiser sa Force du sang de sa vitime"/>
    <s v="N/A"/>
    <s v="Gnose"/>
    <s v="Vigueur + 3"/>
    <s v="2 tours par réussite"/>
  </r>
  <r>
    <x v="2"/>
    <x v="20"/>
    <n v="3"/>
    <s v="Sagesse des voies ancestrales"/>
    <x v="29"/>
    <s v="Non"/>
    <s v="La méditation donne accès aux connaissances des ancestres"/>
    <s v="N/A"/>
    <s v="Gnose"/>
    <n v="6"/>
    <s v="un court moment"/>
  </r>
  <r>
    <x v="2"/>
    <x v="20"/>
    <n v="3"/>
    <s v="Sang du Nord"/>
    <x v="49"/>
    <s v="Oui"/>
    <s v="Le LG deviens immunisé aux effets de l'hiver"/>
    <s v="N/A"/>
    <s v="n/a"/>
    <s v="n/a"/>
    <s v="permanent"/>
  </r>
  <r>
    <x v="2"/>
    <x v="20"/>
    <n v="4"/>
    <s v="Appel de l'esprit cannibale"/>
    <x v="50"/>
    <s v="Oui"/>
    <s v="Invoque un esprit pour qu'il dévore le coeur de sa cible … ou celui de l'invocateur"/>
    <s v="1 R +_x000a_1 G"/>
    <s v="Charisme + Occultisme"/>
    <n v="8"/>
    <s v="jusqu'à fin de la chasse"/>
  </r>
  <r>
    <x v="2"/>
    <x v="20"/>
    <n v="4"/>
    <s v="Cri de Gaïa"/>
    <x v="15"/>
    <s v="Non"/>
    <s v="Hurlement qui projette à terre les gens"/>
    <s v="1 G"/>
    <s v="n/a"/>
    <s v="n/a"/>
    <s v="instantané"/>
  </r>
  <r>
    <x v="2"/>
    <x v="20"/>
    <n v="4"/>
    <s v="Frisson des premières neiges"/>
    <x v="49"/>
    <s v="Oui"/>
    <s v="Fait chuter la température dans une large zone"/>
    <s v="1 G"/>
    <s v="Intelligence + Occultisme"/>
    <s v="Variable"/>
    <s v="1 tour par réussite"/>
  </r>
  <r>
    <x v="2"/>
    <x v="20"/>
    <n v="4"/>
    <s v="Héros inébranlable"/>
    <x v="15"/>
    <s v="Non"/>
    <s v="En refusant de partir le LG obtient des bonus à toutes ses actions physiques "/>
    <s v="N/A"/>
    <s v="Volonté"/>
    <n v="8"/>
    <s v="jusqu'à avoir vaincu de ses adversaires"/>
  </r>
  <r>
    <x v="2"/>
    <x v="20"/>
    <n v="5"/>
    <s v="Invoquer les esprits de la tempête"/>
    <x v="51"/>
    <s v="Oui"/>
    <s v="Produit n'importe quel effet climatique qu'il désire"/>
    <s v="1 G"/>
    <s v="Volonté"/>
    <s v="Variable"/>
    <s v="1 scène"/>
  </r>
  <r>
    <x v="2"/>
    <x v="20"/>
    <n v="5"/>
    <s v="Cœur de glace"/>
    <x v="49"/>
    <s v="Oui"/>
    <s v="Gèle sa cible de l'intérieur"/>
    <s v="1 G"/>
    <s v="Astuce + Occultisme"/>
    <s v="Volonté"/>
    <s v="instantané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7637CD-FD25-47E8-A7D2-A30D4A046A9C}" name="TablaDinámica1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W58" firstHeaderRow="1" firstDataRow="3" firstDataCol="1"/>
  <pivotFields count="11">
    <pivotField axis="axisCol" showAll="0" defaultSubtotal="0">
      <items count="3">
        <item x="1"/>
        <item x="0"/>
        <item x="2"/>
      </items>
    </pivotField>
    <pivotField axis="axisCol" showAll="0">
      <items count="22">
        <item x="7"/>
        <item x="8"/>
        <item x="9"/>
        <item x="10"/>
        <item x="11"/>
        <item x="12"/>
        <item x="13"/>
        <item x="14"/>
        <item x="6"/>
        <item x="15"/>
        <item x="0"/>
        <item x="2"/>
        <item x="16"/>
        <item x="1"/>
        <item x="5"/>
        <item x="3"/>
        <item x="17"/>
        <item x="18"/>
        <item x="4"/>
        <item x="19"/>
        <item x="20"/>
        <item t="default"/>
      </items>
    </pivotField>
    <pivotField showAll="0"/>
    <pivotField dataField="1" showAll="0"/>
    <pivotField axis="axisRow" showAll="0" sortType="ascending">
      <items count="63">
        <item x="15"/>
        <item x="40"/>
        <item x="13"/>
        <item m="1" x="61"/>
        <item x="7"/>
        <item m="1" x="54"/>
        <item x="42"/>
        <item x="32"/>
        <item x="35"/>
        <item x="50"/>
        <item x="30"/>
        <item x="18"/>
        <item x="34"/>
        <item x="3"/>
        <item x="26"/>
        <item x="2"/>
        <item x="48"/>
        <item x="47"/>
        <item m="1" x="53"/>
        <item x="19"/>
        <item x="11"/>
        <item x="39"/>
        <item x="43"/>
        <item x="16"/>
        <item x="25"/>
        <item x="45"/>
        <item x="33"/>
        <item x="49"/>
        <item x="0"/>
        <item m="1" x="56"/>
        <item x="22"/>
        <item x="41"/>
        <item x="5"/>
        <item m="1" x="58"/>
        <item x="9"/>
        <item x="51"/>
        <item x="37"/>
        <item x="21"/>
        <item x="44"/>
        <item x="14"/>
        <item m="1" x="55"/>
        <item x="27"/>
        <item x="12"/>
        <item m="1" x="57"/>
        <item x="10"/>
        <item m="1" x="52"/>
        <item m="1" x="60"/>
        <item x="31"/>
        <item x="36"/>
        <item x="29"/>
        <item x="17"/>
        <item m="1" x="59"/>
        <item x="8"/>
        <item x="23"/>
        <item x="38"/>
        <item x="4"/>
        <item x="6"/>
        <item x="1"/>
        <item x="28"/>
        <item x="20"/>
        <item x="24"/>
        <item x="4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53">
    <i>
      <x/>
    </i>
    <i>
      <x v="1"/>
    </i>
    <i>
      <x v="2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30"/>
    </i>
    <i>
      <x v="31"/>
    </i>
    <i>
      <x v="32"/>
    </i>
    <i>
      <x v="34"/>
    </i>
    <i>
      <x v="35"/>
    </i>
    <i>
      <x v="36"/>
    </i>
    <i>
      <x v="37"/>
    </i>
    <i>
      <x v="38"/>
    </i>
    <i>
      <x v="39"/>
    </i>
    <i>
      <x v="41"/>
    </i>
    <i>
      <x v="42"/>
    </i>
    <i>
      <x v="44"/>
    </i>
    <i>
      <x v="47"/>
    </i>
    <i>
      <x v="48"/>
    </i>
    <i>
      <x v="49"/>
    </i>
    <i>
      <x v="50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 t="grand">
      <x/>
    </i>
  </rowItems>
  <colFields count="2">
    <field x="0"/>
    <field x="1"/>
  </colFields>
  <colItems count="22">
    <i>
      <x/>
      <x/>
    </i>
    <i r="1">
      <x v="8"/>
    </i>
    <i r="1">
      <x v="14"/>
    </i>
    <i r="1">
      <x v="15"/>
    </i>
    <i r="1">
      <x v="18"/>
    </i>
    <i>
      <x v="1"/>
      <x v="10"/>
    </i>
    <i r="1">
      <x v="11"/>
    </i>
    <i r="1">
      <x v="13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2"/>
    </i>
    <i r="1">
      <x v="16"/>
    </i>
    <i r="1">
      <x v="17"/>
    </i>
    <i r="1">
      <x v="19"/>
    </i>
    <i r="1">
      <x v="20"/>
    </i>
    <i t="grand">
      <x/>
    </i>
  </colItems>
  <dataFields count="1">
    <dataField name="Cuenta de Nom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DAAF1-7650-45FB-A696-796DE0D7A65C}">
  <dimension ref="A3:W58"/>
  <sheetViews>
    <sheetView zoomScale="80" zoomScaleNormal="80" workbookViewId="0">
      <selection activeCell="G17" sqref="G17"/>
    </sheetView>
  </sheetViews>
  <sheetFormatPr baseColWidth="10" defaultRowHeight="15" x14ac:dyDescent="0.25"/>
  <cols>
    <col min="1" max="1" width="22.7109375" bestFit="1" customWidth="1"/>
    <col min="2" max="2" width="24.140625" bestFit="1" customWidth="1"/>
    <col min="3" max="3" width="8.140625" bestFit="1" customWidth="1"/>
    <col min="4" max="4" width="8.85546875" bestFit="1" customWidth="1"/>
    <col min="5" max="5" width="9.85546875" bestFit="1" customWidth="1"/>
    <col min="6" max="6" width="8.42578125" bestFit="1" customWidth="1"/>
    <col min="7" max="7" width="9.85546875" bestFit="1" customWidth="1"/>
    <col min="8" max="9" width="6.28515625" bestFit="1" customWidth="1"/>
    <col min="10" max="10" width="20.7109375" bestFit="1" customWidth="1"/>
    <col min="11" max="11" width="10.85546875" bestFit="1" customWidth="1"/>
    <col min="12" max="12" width="13.85546875" bestFit="1" customWidth="1"/>
    <col min="13" max="13" width="15.140625" bestFit="1" customWidth="1"/>
    <col min="14" max="14" width="7.140625" bestFit="1" customWidth="1"/>
    <col min="15" max="15" width="12.7109375" bestFit="1" customWidth="1"/>
    <col min="16" max="16" width="12.85546875" bestFit="1" customWidth="1"/>
    <col min="17" max="17" width="14.28515625" bestFit="1" customWidth="1"/>
    <col min="18" max="18" width="19.28515625" bestFit="1" customWidth="1"/>
    <col min="19" max="19" width="13.85546875" bestFit="1" customWidth="1"/>
    <col min="20" max="20" width="20.28515625" bestFit="1" customWidth="1"/>
    <col min="21" max="21" width="7.7109375" bestFit="1" customWidth="1"/>
    <col min="22" max="22" width="9.140625" bestFit="1" customWidth="1"/>
    <col min="23" max="23" width="12.85546875" bestFit="1" customWidth="1"/>
    <col min="24" max="24" width="8" bestFit="1" customWidth="1"/>
    <col min="25" max="25" width="9.42578125" bestFit="1" customWidth="1"/>
    <col min="26" max="26" width="11.28515625" bestFit="1" customWidth="1"/>
  </cols>
  <sheetData>
    <row r="3" spans="1:23" x14ac:dyDescent="0.25">
      <c r="A3" s="5" t="s">
        <v>559</v>
      </c>
      <c r="B3" s="5" t="s">
        <v>833</v>
      </c>
    </row>
    <row r="4" spans="1:23" x14ac:dyDescent="0.25">
      <c r="B4" t="s">
        <v>161</v>
      </c>
      <c r="G4" t="s">
        <v>160</v>
      </c>
      <c r="J4" t="s">
        <v>162</v>
      </c>
      <c r="W4" t="s">
        <v>834</v>
      </c>
    </row>
    <row r="5" spans="1:23" x14ac:dyDescent="0.25">
      <c r="A5" s="5" t="s">
        <v>835</v>
      </c>
      <c r="B5" t="s">
        <v>140</v>
      </c>
      <c r="C5" t="s">
        <v>122</v>
      </c>
      <c r="D5" t="s">
        <v>103</v>
      </c>
      <c r="E5" t="s">
        <v>61</v>
      </c>
      <c r="F5" t="s">
        <v>80</v>
      </c>
      <c r="G5" t="s">
        <v>3</v>
      </c>
      <c r="H5" t="s">
        <v>41</v>
      </c>
      <c r="I5" t="s">
        <v>21</v>
      </c>
      <c r="J5" t="s">
        <v>163</v>
      </c>
      <c r="K5" t="s">
        <v>179</v>
      </c>
      <c r="L5" t="s">
        <v>197</v>
      </c>
      <c r="M5" t="s">
        <v>213</v>
      </c>
      <c r="N5" t="s">
        <v>229</v>
      </c>
      <c r="O5" t="s">
        <v>244</v>
      </c>
      <c r="P5" t="s">
        <v>260</v>
      </c>
      <c r="Q5" t="s">
        <v>275</v>
      </c>
      <c r="R5" t="s">
        <v>293</v>
      </c>
      <c r="S5" t="s">
        <v>314</v>
      </c>
      <c r="T5" t="s">
        <v>332</v>
      </c>
      <c r="U5" t="s">
        <v>351</v>
      </c>
      <c r="V5" t="s">
        <v>368</v>
      </c>
    </row>
    <row r="6" spans="1:23" x14ac:dyDescent="0.25">
      <c r="A6" s="6" t="s">
        <v>422</v>
      </c>
      <c r="B6" s="7"/>
      <c r="C6" s="7">
        <v>2</v>
      </c>
      <c r="D6" s="7">
        <v>3</v>
      </c>
      <c r="E6" s="7">
        <v>1</v>
      </c>
      <c r="F6" s="7">
        <v>2</v>
      </c>
      <c r="G6" s="7"/>
      <c r="H6" s="7">
        <v>1</v>
      </c>
      <c r="I6" s="7">
        <v>4</v>
      </c>
      <c r="J6" s="7">
        <v>2</v>
      </c>
      <c r="K6" s="7">
        <v>1</v>
      </c>
      <c r="L6" s="7">
        <v>2</v>
      </c>
      <c r="M6" s="7">
        <v>4</v>
      </c>
      <c r="N6" s="7">
        <v>13</v>
      </c>
      <c r="O6" s="7">
        <v>16</v>
      </c>
      <c r="P6" s="7">
        <v>14</v>
      </c>
      <c r="Q6" s="7">
        <v>17</v>
      </c>
      <c r="R6" s="7">
        <v>6</v>
      </c>
      <c r="S6" s="7">
        <v>14</v>
      </c>
      <c r="T6" s="7">
        <v>17</v>
      </c>
      <c r="U6" s="7">
        <v>2</v>
      </c>
      <c r="V6" s="7">
        <v>4</v>
      </c>
      <c r="W6" s="7">
        <v>125</v>
      </c>
    </row>
    <row r="7" spans="1:23" x14ac:dyDescent="0.25">
      <c r="A7" s="6" t="s">
        <v>770</v>
      </c>
      <c r="B7" s="7"/>
      <c r="C7" s="7"/>
      <c r="D7" s="7"/>
      <c r="E7" s="7"/>
      <c r="F7" s="7"/>
      <c r="G7" s="7"/>
      <c r="H7" s="7"/>
      <c r="I7" s="7"/>
      <c r="J7" s="7"/>
      <c r="K7" s="7">
        <v>1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>
        <v>1</v>
      </c>
    </row>
    <row r="8" spans="1:23" x14ac:dyDescent="0.25">
      <c r="A8" s="6" t="s">
        <v>520</v>
      </c>
      <c r="B8" s="7"/>
      <c r="C8" s="7"/>
      <c r="D8" s="7"/>
      <c r="E8" s="7"/>
      <c r="F8" s="7"/>
      <c r="G8" s="7"/>
      <c r="H8" s="7">
        <v>2</v>
      </c>
      <c r="I8" s="7">
        <v>6</v>
      </c>
      <c r="J8" s="7"/>
      <c r="K8" s="7"/>
      <c r="L8" s="7"/>
      <c r="M8" s="7"/>
      <c r="N8" s="7">
        <v>1</v>
      </c>
      <c r="O8" s="7"/>
      <c r="P8" s="7"/>
      <c r="Q8" s="7"/>
      <c r="R8" s="7"/>
      <c r="S8" s="7"/>
      <c r="T8" s="7"/>
      <c r="U8" s="7">
        <v>3</v>
      </c>
      <c r="V8" s="7">
        <v>1</v>
      </c>
      <c r="W8" s="7">
        <v>13</v>
      </c>
    </row>
    <row r="9" spans="1:23" x14ac:dyDescent="0.25">
      <c r="A9" s="6" t="s">
        <v>305</v>
      </c>
      <c r="B9" s="7"/>
      <c r="C9" s="7"/>
      <c r="D9" s="7"/>
      <c r="E9" s="7"/>
      <c r="F9" s="7"/>
      <c r="G9" s="7">
        <v>1</v>
      </c>
      <c r="H9" s="7"/>
      <c r="I9" s="7"/>
      <c r="J9" s="7"/>
      <c r="K9" s="7"/>
      <c r="L9" s="7">
        <v>1</v>
      </c>
      <c r="M9" s="7"/>
      <c r="N9" s="7"/>
      <c r="O9" s="7"/>
      <c r="P9" s="7"/>
      <c r="Q9" s="7"/>
      <c r="R9" s="7">
        <v>2</v>
      </c>
      <c r="S9" s="7"/>
      <c r="T9" s="7"/>
      <c r="U9" s="7"/>
      <c r="V9" s="7"/>
      <c r="W9" s="7">
        <v>4</v>
      </c>
    </row>
    <row r="10" spans="1:23" x14ac:dyDescent="0.25">
      <c r="A10" s="6" t="s">
        <v>802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>
        <v>1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>
        <v>1</v>
      </c>
    </row>
    <row r="11" spans="1:23" x14ac:dyDescent="0.25">
      <c r="A11" s="6" t="s">
        <v>452</v>
      </c>
      <c r="B11" s="7">
        <v>5</v>
      </c>
      <c r="C11" s="7"/>
      <c r="D11" s="7"/>
      <c r="E11" s="7"/>
      <c r="F11" s="7"/>
      <c r="G11" s="7"/>
      <c r="H11" s="7"/>
      <c r="I11" s="7"/>
      <c r="J11" s="7"/>
      <c r="K11" s="7"/>
      <c r="L11" s="7">
        <v>2</v>
      </c>
      <c r="M11" s="7"/>
      <c r="N11" s="7"/>
      <c r="O11" s="7">
        <v>1</v>
      </c>
      <c r="P11" s="7"/>
      <c r="Q11" s="7"/>
      <c r="R11" s="7"/>
      <c r="S11" s="7"/>
      <c r="T11" s="7"/>
      <c r="U11" s="7"/>
      <c r="V11" s="7"/>
      <c r="W11" s="7">
        <v>8</v>
      </c>
    </row>
    <row r="12" spans="1:23" x14ac:dyDescent="0.25">
      <c r="A12" s="6" t="s">
        <v>768</v>
      </c>
      <c r="B12" s="7">
        <v>3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>
        <v>3</v>
      </c>
    </row>
    <row r="13" spans="1:23" x14ac:dyDescent="0.25">
      <c r="A13" s="6" t="s">
        <v>676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>
        <v>3</v>
      </c>
      <c r="W13" s="7">
        <v>3</v>
      </c>
    </row>
    <row r="14" spans="1:23" x14ac:dyDescent="0.25">
      <c r="A14" s="6" t="s">
        <v>703</v>
      </c>
      <c r="B14" s="7"/>
      <c r="C14" s="7">
        <v>8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>
        <v>1</v>
      </c>
      <c r="O14" s="7"/>
      <c r="P14" s="7"/>
      <c r="Q14" s="7"/>
      <c r="R14" s="7"/>
      <c r="S14" s="7"/>
      <c r="T14" s="7"/>
      <c r="U14" s="7"/>
      <c r="V14" s="7"/>
      <c r="W14" s="7">
        <v>9</v>
      </c>
    </row>
    <row r="15" spans="1:23" x14ac:dyDescent="0.25">
      <c r="A15" s="6" t="s">
        <v>573</v>
      </c>
      <c r="B15" s="7"/>
      <c r="C15" s="7"/>
      <c r="D15" s="7"/>
      <c r="E15" s="7">
        <v>1</v>
      </c>
      <c r="F15" s="7"/>
      <c r="G15" s="7"/>
      <c r="H15" s="7">
        <v>4</v>
      </c>
      <c r="I15" s="7"/>
      <c r="J15" s="7"/>
      <c r="K15" s="7"/>
      <c r="L15" s="7"/>
      <c r="M15" s="7"/>
      <c r="N15" s="7"/>
      <c r="O15" s="7"/>
      <c r="P15" s="7">
        <v>1</v>
      </c>
      <c r="Q15" s="7">
        <v>1</v>
      </c>
      <c r="R15" s="7"/>
      <c r="S15" s="7"/>
      <c r="T15" s="7"/>
      <c r="U15" s="7"/>
      <c r="V15" s="7"/>
      <c r="W15" s="7">
        <v>7</v>
      </c>
    </row>
    <row r="16" spans="1:23" x14ac:dyDescent="0.25">
      <c r="A16" s="6" t="s">
        <v>783</v>
      </c>
      <c r="B16" s="7">
        <v>1</v>
      </c>
      <c r="C16" s="7"/>
      <c r="D16" s="7"/>
      <c r="E16" s="7"/>
      <c r="F16" s="7"/>
      <c r="G16" s="7"/>
      <c r="H16" s="7"/>
      <c r="I16" s="7"/>
      <c r="J16" s="7"/>
      <c r="K16" s="7">
        <v>6</v>
      </c>
      <c r="L16" s="7"/>
      <c r="M16" s="7">
        <v>1</v>
      </c>
      <c r="N16" s="7"/>
      <c r="O16" s="7"/>
      <c r="P16" s="7"/>
      <c r="Q16" s="7"/>
      <c r="R16" s="7"/>
      <c r="S16" s="7"/>
      <c r="T16" s="7"/>
      <c r="U16" s="7"/>
      <c r="V16" s="7"/>
      <c r="W16" s="7">
        <v>8</v>
      </c>
    </row>
    <row r="17" spans="1:23" x14ac:dyDescent="0.25">
      <c r="A17" s="6" t="s">
        <v>687</v>
      </c>
      <c r="B17" s="7"/>
      <c r="C17" s="7"/>
      <c r="D17" s="7">
        <v>5</v>
      </c>
      <c r="E17" s="7"/>
      <c r="F17" s="7"/>
      <c r="G17" s="7">
        <v>1</v>
      </c>
      <c r="H17" s="7"/>
      <c r="I17" s="7"/>
      <c r="J17" s="7"/>
      <c r="K17" s="7"/>
      <c r="L17" s="7"/>
      <c r="M17" s="7"/>
      <c r="N17" s="7">
        <v>1</v>
      </c>
      <c r="O17" s="7"/>
      <c r="P17" s="7"/>
      <c r="Q17" s="7"/>
      <c r="R17" s="7">
        <v>1</v>
      </c>
      <c r="S17" s="7"/>
      <c r="T17" s="7"/>
      <c r="U17" s="7"/>
      <c r="V17" s="7"/>
      <c r="W17" s="7">
        <v>8</v>
      </c>
    </row>
    <row r="18" spans="1:23" x14ac:dyDescent="0.25">
      <c r="A18" s="6" t="s">
        <v>298</v>
      </c>
      <c r="B18" s="7"/>
      <c r="C18" s="7">
        <v>1</v>
      </c>
      <c r="D18" s="7"/>
      <c r="E18" s="7"/>
      <c r="F18" s="7">
        <v>1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>
        <v>1</v>
      </c>
      <c r="U18" s="7"/>
      <c r="V18" s="7"/>
      <c r="W18" s="7">
        <v>3</v>
      </c>
    </row>
    <row r="19" spans="1:23" x14ac:dyDescent="0.25">
      <c r="A19" s="6" t="s">
        <v>311</v>
      </c>
      <c r="B19" s="7">
        <v>1</v>
      </c>
      <c r="C19" s="7"/>
      <c r="D19" s="7">
        <v>1</v>
      </c>
      <c r="E19" s="7"/>
      <c r="F19" s="7"/>
      <c r="G19" s="7">
        <v>1</v>
      </c>
      <c r="H19" s="7">
        <v>1</v>
      </c>
      <c r="I19" s="7">
        <v>1</v>
      </c>
      <c r="J19" s="7"/>
      <c r="K19" s="7"/>
      <c r="L19" s="7"/>
      <c r="M19" s="7"/>
      <c r="N19" s="7"/>
      <c r="O19" s="7">
        <v>1</v>
      </c>
      <c r="P19" s="7"/>
      <c r="Q19" s="7">
        <v>1</v>
      </c>
      <c r="R19" s="7">
        <v>1</v>
      </c>
      <c r="S19" s="7"/>
      <c r="T19" s="7"/>
      <c r="U19" s="7">
        <v>1</v>
      </c>
      <c r="V19" s="7"/>
      <c r="W19" s="7">
        <v>9</v>
      </c>
    </row>
    <row r="20" spans="1:23" x14ac:dyDescent="0.25">
      <c r="A20" s="6" t="s">
        <v>646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>
        <v>1</v>
      </c>
      <c r="V20" s="7"/>
      <c r="W20" s="7">
        <v>1</v>
      </c>
    </row>
    <row r="21" spans="1:23" x14ac:dyDescent="0.25">
      <c r="A21" s="6" t="s">
        <v>628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>
        <v>1</v>
      </c>
      <c r="U21" s="7">
        <v>3</v>
      </c>
      <c r="V21" s="7"/>
      <c r="W21" s="7">
        <v>4</v>
      </c>
    </row>
    <row r="22" spans="1:23" x14ac:dyDescent="0.25">
      <c r="A22" s="6" t="s">
        <v>594</v>
      </c>
      <c r="B22" s="7"/>
      <c r="C22" s="7">
        <v>1</v>
      </c>
      <c r="D22" s="7">
        <v>1</v>
      </c>
      <c r="E22" s="7"/>
      <c r="F22" s="7"/>
      <c r="G22" s="7"/>
      <c r="H22" s="7">
        <v>1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>
        <v>3</v>
      </c>
    </row>
    <row r="23" spans="1:23" x14ac:dyDescent="0.25">
      <c r="A23" s="6" t="s">
        <v>93</v>
      </c>
      <c r="B23" s="7"/>
      <c r="C23" s="7"/>
      <c r="D23" s="7"/>
      <c r="E23" s="7"/>
      <c r="F23" s="7">
        <v>7</v>
      </c>
      <c r="G23" s="7">
        <v>1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>
        <v>8</v>
      </c>
    </row>
    <row r="24" spans="1:23" x14ac:dyDescent="0.25">
      <c r="A24" s="6" t="s">
        <v>415</v>
      </c>
      <c r="B24" s="7"/>
      <c r="C24" s="7"/>
      <c r="D24" s="7"/>
      <c r="E24" s="7"/>
      <c r="F24" s="7"/>
      <c r="G24" s="7"/>
      <c r="H24" s="7"/>
      <c r="I24" s="7"/>
      <c r="J24" s="7">
        <v>1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>
        <v>1</v>
      </c>
    </row>
    <row r="25" spans="1:23" x14ac:dyDescent="0.25">
      <c r="A25" s="6" t="s">
        <v>817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>
        <v>1</v>
      </c>
      <c r="N25" s="7"/>
      <c r="O25" s="7"/>
      <c r="P25" s="7"/>
      <c r="Q25" s="7"/>
      <c r="R25" s="7"/>
      <c r="S25" s="7"/>
      <c r="T25" s="7"/>
      <c r="U25" s="7"/>
      <c r="V25" s="7"/>
      <c r="W25" s="7">
        <v>1</v>
      </c>
    </row>
    <row r="26" spans="1:23" x14ac:dyDescent="0.25">
      <c r="A26" s="6" t="s">
        <v>427</v>
      </c>
      <c r="B26" s="7"/>
      <c r="C26" s="7"/>
      <c r="D26" s="7"/>
      <c r="E26" s="7">
        <v>3</v>
      </c>
      <c r="F26" s="7">
        <v>1</v>
      </c>
      <c r="G26" s="7"/>
      <c r="H26" s="7"/>
      <c r="I26" s="7">
        <v>1</v>
      </c>
      <c r="J26" s="7">
        <v>2</v>
      </c>
      <c r="K26" s="7"/>
      <c r="L26" s="7"/>
      <c r="M26" s="7"/>
      <c r="N26" s="7"/>
      <c r="O26" s="7"/>
      <c r="P26" s="7"/>
      <c r="Q26" s="7">
        <v>1</v>
      </c>
      <c r="R26" s="7"/>
      <c r="S26" s="7">
        <v>1</v>
      </c>
      <c r="T26" s="7"/>
      <c r="U26" s="7">
        <v>1</v>
      </c>
      <c r="V26" s="7">
        <v>1</v>
      </c>
      <c r="W26" s="7">
        <v>11</v>
      </c>
    </row>
    <row r="27" spans="1:23" x14ac:dyDescent="0.25">
      <c r="A27" s="6" t="s">
        <v>222</v>
      </c>
      <c r="B27" s="7">
        <v>2</v>
      </c>
      <c r="C27" s="7"/>
      <c r="D27" s="7"/>
      <c r="E27" s="7"/>
      <c r="F27" s="7">
        <v>1</v>
      </c>
      <c r="G27" s="7"/>
      <c r="H27" s="7"/>
      <c r="I27" s="7"/>
      <c r="J27" s="7"/>
      <c r="K27" s="7"/>
      <c r="L27" s="7"/>
      <c r="M27" s="7">
        <v>3</v>
      </c>
      <c r="N27" s="7"/>
      <c r="O27" s="7"/>
      <c r="P27" s="7"/>
      <c r="Q27" s="7"/>
      <c r="R27" s="7"/>
      <c r="S27" s="7"/>
      <c r="T27" s="7"/>
      <c r="U27" s="7"/>
      <c r="V27" s="7"/>
      <c r="W27" s="7">
        <v>6</v>
      </c>
    </row>
    <row r="28" spans="1:23" x14ac:dyDescent="0.25">
      <c r="A28" s="6" t="s">
        <v>821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>
        <v>1</v>
      </c>
      <c r="N28" s="7"/>
      <c r="O28" s="7"/>
      <c r="P28" s="7"/>
      <c r="Q28" s="7"/>
      <c r="R28" s="7"/>
      <c r="S28" s="7"/>
      <c r="T28" s="7"/>
      <c r="U28" s="7"/>
      <c r="V28" s="7"/>
      <c r="W28" s="7">
        <v>1</v>
      </c>
    </row>
    <row r="29" spans="1:23" x14ac:dyDescent="0.25">
      <c r="A29" s="6" t="s">
        <v>797</v>
      </c>
      <c r="B29" s="7">
        <v>1</v>
      </c>
      <c r="C29" s="7"/>
      <c r="D29" s="7"/>
      <c r="E29" s="7"/>
      <c r="F29" s="7"/>
      <c r="G29" s="7"/>
      <c r="H29" s="7"/>
      <c r="I29" s="7"/>
      <c r="J29" s="7"/>
      <c r="K29" s="7"/>
      <c r="L29" s="7">
        <v>4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>
        <v>5</v>
      </c>
    </row>
    <row r="30" spans="1:23" x14ac:dyDescent="0.25">
      <c r="A30" s="6" t="s">
        <v>653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>
        <v>5</v>
      </c>
      <c r="W30" s="7">
        <v>5</v>
      </c>
    </row>
    <row r="31" spans="1:23" x14ac:dyDescent="0.25">
      <c r="A31" s="6" t="s">
        <v>560</v>
      </c>
      <c r="B31" s="7"/>
      <c r="C31" s="7"/>
      <c r="D31" s="7"/>
      <c r="E31" s="7"/>
      <c r="F31" s="7"/>
      <c r="G31" s="7">
        <v>5</v>
      </c>
      <c r="H31" s="7"/>
      <c r="I31" s="7"/>
      <c r="J31" s="7">
        <v>1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>
        <v>6</v>
      </c>
    </row>
    <row r="32" spans="1:23" x14ac:dyDescent="0.25">
      <c r="A32" s="6" t="s">
        <v>633</v>
      </c>
      <c r="B32" s="7"/>
      <c r="C32" s="7">
        <v>1</v>
      </c>
      <c r="D32" s="7"/>
      <c r="E32" s="7"/>
      <c r="F32" s="7"/>
      <c r="G32" s="7"/>
      <c r="H32" s="7">
        <v>1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>
        <v>4</v>
      </c>
      <c r="V32" s="7">
        <v>1</v>
      </c>
      <c r="W32" s="7">
        <v>7</v>
      </c>
    </row>
    <row r="33" spans="1:23" x14ac:dyDescent="0.25">
      <c r="A33" s="6" t="s">
        <v>804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>
        <v>3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>
        <v>3</v>
      </c>
    </row>
    <row r="34" spans="1:23" x14ac:dyDescent="0.25">
      <c r="A34" s="6" t="s">
        <v>595</v>
      </c>
      <c r="B34" s="7"/>
      <c r="C34" s="7"/>
      <c r="D34" s="7"/>
      <c r="E34" s="7">
        <v>1</v>
      </c>
      <c r="F34" s="7"/>
      <c r="G34" s="7">
        <v>5</v>
      </c>
      <c r="H34" s="7">
        <v>1</v>
      </c>
      <c r="I34" s="7"/>
      <c r="J34" s="7"/>
      <c r="K34" s="7"/>
      <c r="L34" s="7">
        <v>1</v>
      </c>
      <c r="M34" s="7">
        <v>1</v>
      </c>
      <c r="N34" s="7"/>
      <c r="O34" s="7"/>
      <c r="P34" s="7"/>
      <c r="Q34" s="7"/>
      <c r="R34" s="7"/>
      <c r="S34" s="7"/>
      <c r="T34" s="7"/>
      <c r="U34" s="7"/>
      <c r="V34" s="7"/>
      <c r="W34" s="7">
        <v>9</v>
      </c>
    </row>
    <row r="35" spans="1:23" x14ac:dyDescent="0.25">
      <c r="A35" s="6" t="s">
        <v>402</v>
      </c>
      <c r="B35" s="7">
        <v>1</v>
      </c>
      <c r="C35" s="7"/>
      <c r="D35" s="7"/>
      <c r="E35" s="7">
        <v>2</v>
      </c>
      <c r="F35" s="7"/>
      <c r="G35" s="7">
        <v>1</v>
      </c>
      <c r="H35" s="7">
        <v>1</v>
      </c>
      <c r="I35" s="7">
        <v>2</v>
      </c>
      <c r="J35" s="7"/>
      <c r="K35" s="7"/>
      <c r="L35" s="7">
        <v>1</v>
      </c>
      <c r="M35" s="7"/>
      <c r="N35" s="7">
        <v>1</v>
      </c>
      <c r="O35" s="7">
        <v>1</v>
      </c>
      <c r="P35" s="7">
        <v>2</v>
      </c>
      <c r="Q35" s="7"/>
      <c r="R35" s="7"/>
      <c r="S35" s="7"/>
      <c r="T35" s="7"/>
      <c r="U35" s="7"/>
      <c r="V35" s="7"/>
      <c r="W35" s="7">
        <v>12</v>
      </c>
    </row>
    <row r="36" spans="1:23" x14ac:dyDescent="0.25">
      <c r="A36" s="6" t="s">
        <v>673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>
        <v>2</v>
      </c>
      <c r="W36" s="7">
        <v>2</v>
      </c>
    </row>
    <row r="37" spans="1:23" x14ac:dyDescent="0.25">
      <c r="A37" s="6" t="s">
        <v>757</v>
      </c>
      <c r="B37" s="7"/>
      <c r="C37" s="7"/>
      <c r="D37" s="7"/>
      <c r="E37" s="7"/>
      <c r="F37" s="7"/>
      <c r="G37" s="7"/>
      <c r="H37" s="7"/>
      <c r="I37" s="7"/>
      <c r="J37" s="7">
        <v>4</v>
      </c>
      <c r="K37" s="7"/>
      <c r="L37" s="7">
        <v>1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>
        <v>5</v>
      </c>
    </row>
    <row r="38" spans="1:23" x14ac:dyDescent="0.25">
      <c r="A38" s="6" t="s">
        <v>425</v>
      </c>
      <c r="B38" s="7"/>
      <c r="C38" s="7"/>
      <c r="D38" s="7"/>
      <c r="E38" s="7"/>
      <c r="F38" s="7"/>
      <c r="G38" s="7"/>
      <c r="H38" s="7">
        <v>1</v>
      </c>
      <c r="I38" s="7"/>
      <c r="J38" s="7"/>
      <c r="K38" s="7"/>
      <c r="L38" s="7"/>
      <c r="M38" s="7">
        <v>1</v>
      </c>
      <c r="N38" s="7"/>
      <c r="O38" s="7"/>
      <c r="P38" s="7">
        <v>1</v>
      </c>
      <c r="Q38" s="7"/>
      <c r="R38" s="7"/>
      <c r="S38" s="7"/>
      <c r="T38" s="7"/>
      <c r="U38" s="7"/>
      <c r="V38" s="7"/>
      <c r="W38" s="7">
        <v>3</v>
      </c>
    </row>
    <row r="39" spans="1:23" x14ac:dyDescent="0.25">
      <c r="A39" s="6" t="s">
        <v>824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>
        <v>5</v>
      </c>
      <c r="N39" s="7"/>
      <c r="O39" s="7"/>
      <c r="P39" s="7"/>
      <c r="Q39" s="7"/>
      <c r="R39" s="7"/>
      <c r="S39" s="7"/>
      <c r="T39" s="7"/>
      <c r="U39" s="7"/>
      <c r="V39" s="7"/>
      <c r="W39" s="7">
        <v>5</v>
      </c>
    </row>
    <row r="40" spans="1:23" x14ac:dyDescent="0.25">
      <c r="A40" s="6" t="s">
        <v>412</v>
      </c>
      <c r="B40" s="7">
        <v>1</v>
      </c>
      <c r="C40" s="7">
        <v>1</v>
      </c>
      <c r="D40" s="7">
        <v>3</v>
      </c>
      <c r="E40" s="7"/>
      <c r="F40" s="7">
        <v>1</v>
      </c>
      <c r="G40" s="7"/>
      <c r="H40" s="7">
        <v>4</v>
      </c>
      <c r="I40" s="7">
        <v>2</v>
      </c>
      <c r="J40" s="7">
        <v>1</v>
      </c>
      <c r="K40" s="7">
        <v>3</v>
      </c>
      <c r="L40" s="7">
        <v>2</v>
      </c>
      <c r="M40" s="7"/>
      <c r="N40" s="7"/>
      <c r="O40" s="7"/>
      <c r="P40" s="7">
        <v>2</v>
      </c>
      <c r="Q40" s="7"/>
      <c r="R40" s="7"/>
      <c r="S40" s="7"/>
      <c r="T40" s="7"/>
      <c r="U40" s="7">
        <v>3</v>
      </c>
      <c r="V40" s="7"/>
      <c r="W40" s="7">
        <v>23</v>
      </c>
    </row>
    <row r="41" spans="1:23" x14ac:dyDescent="0.25">
      <c r="A41" s="6" t="s">
        <v>678</v>
      </c>
      <c r="B41" s="7"/>
      <c r="C41" s="7"/>
      <c r="D41" s="7">
        <v>4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>
        <v>4</v>
      </c>
    </row>
    <row r="42" spans="1:23" x14ac:dyDescent="0.25">
      <c r="A42" s="6" t="s">
        <v>496</v>
      </c>
      <c r="B42" s="7"/>
      <c r="C42" s="7"/>
      <c r="D42" s="7"/>
      <c r="E42" s="7"/>
      <c r="F42" s="7"/>
      <c r="G42" s="7"/>
      <c r="H42" s="7"/>
      <c r="I42" s="7">
        <v>2</v>
      </c>
      <c r="J42" s="7"/>
      <c r="K42" s="7">
        <v>1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>
        <v>3</v>
      </c>
    </row>
    <row r="43" spans="1:23" x14ac:dyDescent="0.25">
      <c r="A43" s="6" t="s">
        <v>389</v>
      </c>
      <c r="B43" s="7"/>
      <c r="C43" s="7"/>
      <c r="D43" s="7">
        <v>1</v>
      </c>
      <c r="E43" s="7"/>
      <c r="F43" s="7"/>
      <c r="G43" s="7">
        <v>1</v>
      </c>
      <c r="H43" s="7"/>
      <c r="I43" s="7"/>
      <c r="J43" s="7"/>
      <c r="K43" s="7">
        <v>1</v>
      </c>
      <c r="L43" s="7">
        <v>2</v>
      </c>
      <c r="M43" s="7">
        <v>2</v>
      </c>
      <c r="N43" s="7">
        <v>1</v>
      </c>
      <c r="O43" s="7">
        <v>1</v>
      </c>
      <c r="P43" s="7"/>
      <c r="Q43" s="7"/>
      <c r="R43" s="7"/>
      <c r="S43" s="7">
        <v>1</v>
      </c>
      <c r="T43" s="7">
        <v>1</v>
      </c>
      <c r="U43" s="7"/>
      <c r="V43" s="7">
        <v>1</v>
      </c>
      <c r="W43" s="7">
        <v>12</v>
      </c>
    </row>
    <row r="44" spans="1:23" x14ac:dyDescent="0.25">
      <c r="A44" s="6" t="s">
        <v>712</v>
      </c>
      <c r="B44" s="7"/>
      <c r="C44" s="7">
        <v>6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>
        <v>6</v>
      </c>
    </row>
    <row r="45" spans="1:23" x14ac:dyDescent="0.25">
      <c r="A45" s="6" t="s">
        <v>769</v>
      </c>
      <c r="B45" s="7">
        <v>4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>
        <v>1</v>
      </c>
      <c r="W45" s="7">
        <v>5</v>
      </c>
    </row>
    <row r="46" spans="1:23" x14ac:dyDescent="0.25">
      <c r="A46" s="6" t="s">
        <v>439</v>
      </c>
      <c r="B46" s="7"/>
      <c r="C46" s="7"/>
      <c r="D46" s="7">
        <v>1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>
        <v>1</v>
      </c>
      <c r="W46" s="7">
        <v>2</v>
      </c>
    </row>
    <row r="47" spans="1:23" x14ac:dyDescent="0.25">
      <c r="A47" s="6" t="s">
        <v>407</v>
      </c>
      <c r="B47" s="7"/>
      <c r="C47" s="7"/>
      <c r="D47" s="7"/>
      <c r="E47" s="7"/>
      <c r="F47" s="7">
        <v>4</v>
      </c>
      <c r="G47" s="7"/>
      <c r="H47" s="7">
        <v>1</v>
      </c>
      <c r="I47" s="7">
        <v>1</v>
      </c>
      <c r="J47" s="7">
        <v>1</v>
      </c>
      <c r="K47" s="7"/>
      <c r="L47" s="7"/>
      <c r="M47" s="7"/>
      <c r="N47" s="7"/>
      <c r="O47" s="7"/>
      <c r="P47" s="7"/>
      <c r="Q47" s="7"/>
      <c r="R47" s="7">
        <v>1</v>
      </c>
      <c r="S47" s="7">
        <v>1</v>
      </c>
      <c r="T47" s="7"/>
      <c r="U47" s="7">
        <v>1</v>
      </c>
      <c r="V47" s="7"/>
      <c r="W47" s="7">
        <v>10</v>
      </c>
    </row>
    <row r="48" spans="1:23" x14ac:dyDescent="0.25">
      <c r="A48" s="6" t="s">
        <v>395</v>
      </c>
      <c r="B48" s="7"/>
      <c r="C48" s="7"/>
      <c r="D48" s="7"/>
      <c r="E48" s="7">
        <v>1</v>
      </c>
      <c r="F48" s="7"/>
      <c r="G48" s="7">
        <v>1</v>
      </c>
      <c r="H48" s="7"/>
      <c r="I48" s="7">
        <v>1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>
        <v>3</v>
      </c>
    </row>
    <row r="49" spans="1:23" x14ac:dyDescent="0.25">
      <c r="A49" s="6" t="s">
        <v>592</v>
      </c>
      <c r="B49" s="7"/>
      <c r="C49" s="7"/>
      <c r="D49" s="7"/>
      <c r="E49" s="7">
        <v>8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>
        <v>1</v>
      </c>
      <c r="V49" s="7"/>
      <c r="W49" s="7">
        <v>9</v>
      </c>
    </row>
    <row r="50" spans="1:23" x14ac:dyDescent="0.25">
      <c r="A50" s="6" t="s">
        <v>316</v>
      </c>
      <c r="B50" s="7"/>
      <c r="C50" s="7"/>
      <c r="D50" s="7"/>
      <c r="E50" s="7"/>
      <c r="F50" s="7"/>
      <c r="G50" s="7"/>
      <c r="H50" s="7"/>
      <c r="I50" s="7"/>
      <c r="J50" s="7">
        <v>1</v>
      </c>
      <c r="K50" s="7"/>
      <c r="L50" s="7"/>
      <c r="M50" s="7"/>
      <c r="N50" s="7"/>
      <c r="O50" s="7"/>
      <c r="P50" s="7"/>
      <c r="Q50" s="7"/>
      <c r="R50" s="7"/>
      <c r="S50" s="7">
        <v>2</v>
      </c>
      <c r="T50" s="7"/>
      <c r="U50" s="7"/>
      <c r="V50" s="7"/>
      <c r="W50" s="7">
        <v>3</v>
      </c>
    </row>
    <row r="51" spans="1:23" x14ac:dyDescent="0.25">
      <c r="A51" s="6" t="s">
        <v>296</v>
      </c>
      <c r="B51" s="7"/>
      <c r="C51" s="7"/>
      <c r="D51" s="7"/>
      <c r="E51" s="7">
        <v>1</v>
      </c>
      <c r="F51" s="7"/>
      <c r="G51" s="7">
        <v>1</v>
      </c>
      <c r="H51" s="7">
        <v>1</v>
      </c>
      <c r="I51" s="7"/>
      <c r="J51" s="7"/>
      <c r="K51" s="7"/>
      <c r="L51" s="7"/>
      <c r="M51" s="7"/>
      <c r="N51" s="7"/>
      <c r="O51" s="7"/>
      <c r="P51" s="7"/>
      <c r="Q51" s="7"/>
      <c r="R51" s="7">
        <v>9</v>
      </c>
      <c r="S51" s="7"/>
      <c r="T51" s="7"/>
      <c r="U51" s="7"/>
      <c r="V51" s="7"/>
      <c r="W51" s="7">
        <v>12</v>
      </c>
    </row>
    <row r="52" spans="1:23" x14ac:dyDescent="0.25">
      <c r="A52" s="6" t="s">
        <v>399</v>
      </c>
      <c r="B52" s="7"/>
      <c r="C52" s="7"/>
      <c r="D52" s="7"/>
      <c r="E52" s="7"/>
      <c r="F52" s="7"/>
      <c r="G52" s="7">
        <v>1</v>
      </c>
      <c r="H52" s="7"/>
      <c r="I52" s="7"/>
      <c r="J52" s="7"/>
      <c r="K52" s="7">
        <v>1</v>
      </c>
      <c r="L52" s="7"/>
      <c r="M52" s="7"/>
      <c r="N52" s="7">
        <v>1</v>
      </c>
      <c r="O52" s="7"/>
      <c r="P52" s="7"/>
      <c r="Q52" s="7"/>
      <c r="R52" s="7"/>
      <c r="S52" s="7">
        <v>1</v>
      </c>
      <c r="T52" s="7"/>
      <c r="U52" s="7"/>
      <c r="V52" s="7"/>
      <c r="W52" s="7">
        <v>4</v>
      </c>
    </row>
    <row r="53" spans="1:23" x14ac:dyDescent="0.25">
      <c r="A53" s="6" t="s">
        <v>491</v>
      </c>
      <c r="B53" s="7"/>
      <c r="C53" s="7"/>
      <c r="D53" s="7"/>
      <c r="E53" s="7"/>
      <c r="F53" s="7"/>
      <c r="G53" s="7">
        <v>1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>
        <v>1</v>
      </c>
    </row>
    <row r="54" spans="1:23" x14ac:dyDescent="0.25">
      <c r="A54" s="6" t="s">
        <v>488</v>
      </c>
      <c r="B54" s="7">
        <v>1</v>
      </c>
      <c r="C54" s="7"/>
      <c r="D54" s="7">
        <v>1</v>
      </c>
      <c r="E54" s="7"/>
      <c r="F54" s="7"/>
      <c r="G54" s="7"/>
      <c r="H54" s="7"/>
      <c r="I54" s="7"/>
      <c r="J54" s="7"/>
      <c r="K54" s="7">
        <v>4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>
        <v>6</v>
      </c>
    </row>
    <row r="55" spans="1:23" x14ac:dyDescent="0.25">
      <c r="A55" s="6" t="s">
        <v>576</v>
      </c>
      <c r="B55" s="7"/>
      <c r="C55" s="7"/>
      <c r="D55" s="7"/>
      <c r="E55" s="7">
        <v>2</v>
      </c>
      <c r="F55" s="7"/>
      <c r="G55" s="7"/>
      <c r="H55" s="7">
        <v>1</v>
      </c>
      <c r="I55" s="7"/>
      <c r="J55" s="7">
        <v>6</v>
      </c>
      <c r="K55" s="7">
        <v>1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>
        <v>10</v>
      </c>
    </row>
    <row r="56" spans="1:23" x14ac:dyDescent="0.25">
      <c r="A56" s="6" t="s">
        <v>652</v>
      </c>
      <c r="B56" s="7"/>
      <c r="C56" s="7"/>
      <c r="D56" s="7"/>
      <c r="E56" s="7"/>
      <c r="F56" s="7">
        <v>4</v>
      </c>
      <c r="G56" s="7"/>
      <c r="H56" s="7"/>
      <c r="I56" s="7"/>
      <c r="J56" s="7">
        <v>1</v>
      </c>
      <c r="K56" s="7">
        <v>1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>
        <v>6</v>
      </c>
    </row>
    <row r="57" spans="1:23" x14ac:dyDescent="0.25">
      <c r="A57" s="6" t="s">
        <v>836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>
        <v>1</v>
      </c>
      <c r="N57" s="7"/>
      <c r="O57" s="7"/>
      <c r="P57" s="7"/>
      <c r="Q57" s="7"/>
      <c r="R57" s="7"/>
      <c r="S57" s="7"/>
      <c r="T57" s="7"/>
      <c r="U57" s="7"/>
      <c r="V57" s="7"/>
      <c r="W57" s="7">
        <v>1</v>
      </c>
    </row>
    <row r="58" spans="1:23" x14ac:dyDescent="0.25">
      <c r="A58" s="6" t="s">
        <v>834</v>
      </c>
      <c r="B58" s="7">
        <v>20</v>
      </c>
      <c r="C58" s="7">
        <v>20</v>
      </c>
      <c r="D58" s="7">
        <v>20</v>
      </c>
      <c r="E58" s="7">
        <v>20</v>
      </c>
      <c r="F58" s="7">
        <v>21</v>
      </c>
      <c r="G58" s="7">
        <v>20</v>
      </c>
      <c r="H58" s="7">
        <v>20</v>
      </c>
      <c r="I58" s="7">
        <v>20</v>
      </c>
      <c r="J58" s="7">
        <v>20</v>
      </c>
      <c r="K58" s="7">
        <v>20</v>
      </c>
      <c r="L58" s="7">
        <v>20</v>
      </c>
      <c r="M58" s="7">
        <v>20</v>
      </c>
      <c r="N58" s="7">
        <v>19</v>
      </c>
      <c r="O58" s="7">
        <v>20</v>
      </c>
      <c r="P58" s="7">
        <v>20</v>
      </c>
      <c r="Q58" s="7">
        <v>20</v>
      </c>
      <c r="R58" s="7">
        <v>20</v>
      </c>
      <c r="S58" s="7">
        <v>20</v>
      </c>
      <c r="T58" s="7">
        <v>20</v>
      </c>
      <c r="U58" s="7">
        <v>20</v>
      </c>
      <c r="V58" s="7">
        <v>20</v>
      </c>
      <c r="W58" s="7">
        <v>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22"/>
  <sheetViews>
    <sheetView tabSelected="1" workbookViewId="0">
      <pane ySplit="1" topLeftCell="A2" activePane="bottomLeft" state="frozen"/>
      <selection pane="bottomLeft" activeCell="E270" sqref="E270"/>
    </sheetView>
  </sheetViews>
  <sheetFormatPr baseColWidth="10" defaultColWidth="9.140625" defaultRowHeight="15" x14ac:dyDescent="0.25"/>
  <cols>
    <col min="1" max="1" width="14.5703125" style="1" bestFit="1" customWidth="1"/>
    <col min="2" max="2" width="20.7109375" style="1" bestFit="1" customWidth="1"/>
    <col min="3" max="3" width="9.5703125" style="1" bestFit="1" customWidth="1"/>
    <col min="4" max="4" width="39.7109375" style="1" bestFit="1" customWidth="1"/>
    <col min="5" max="5" width="22.42578125" style="1" bestFit="1" customWidth="1"/>
    <col min="6" max="6" width="9.7109375" style="1" bestFit="1" customWidth="1"/>
    <col min="7" max="7" width="47" style="3" bestFit="1" customWidth="1"/>
    <col min="8" max="8" width="11.7109375" style="1" bestFit="1" customWidth="1"/>
    <col min="9" max="9" width="33.28515625" style="1" bestFit="1" customWidth="1"/>
    <col min="10" max="10" width="24.85546875" style="9" bestFit="1" customWidth="1"/>
    <col min="11" max="11" width="31" style="3" bestFit="1" customWidth="1"/>
    <col min="12" max="16384" width="9.140625" style="1"/>
  </cols>
  <sheetData>
    <row r="1" spans="1:11" x14ac:dyDescent="0.25">
      <c r="A1" s="1" t="s">
        <v>159</v>
      </c>
      <c r="B1" s="1" t="s">
        <v>0</v>
      </c>
      <c r="C1" s="1" t="s">
        <v>1</v>
      </c>
      <c r="D1" s="1" t="s">
        <v>2</v>
      </c>
      <c r="E1" s="1" t="s">
        <v>82</v>
      </c>
      <c r="F1" s="1" t="s">
        <v>83</v>
      </c>
      <c r="G1" s="3" t="s">
        <v>382</v>
      </c>
      <c r="H1" s="1" t="s">
        <v>383</v>
      </c>
      <c r="I1" s="1" t="s">
        <v>385</v>
      </c>
      <c r="J1" s="9" t="s">
        <v>474</v>
      </c>
      <c r="K1" s="3" t="s">
        <v>384</v>
      </c>
    </row>
    <row r="2" spans="1:11" hidden="1" x14ac:dyDescent="0.25">
      <c r="A2" s="1" t="s">
        <v>160</v>
      </c>
      <c r="B2" s="1" t="s">
        <v>3</v>
      </c>
      <c r="C2" s="1">
        <v>1</v>
      </c>
      <c r="D2" s="1" t="s">
        <v>84</v>
      </c>
      <c r="E2" s="1" t="s">
        <v>560</v>
      </c>
      <c r="F2" s="1" t="str">
        <f>IF(COUNTIF(D:D,"="&amp;D2)=1,"Oui","Non")</f>
        <v>Oui</v>
      </c>
      <c r="G2" s="3" t="s">
        <v>473</v>
      </c>
      <c r="H2" s="1" t="s">
        <v>390</v>
      </c>
      <c r="I2" s="1" t="s">
        <v>476</v>
      </c>
      <c r="J2" s="9">
        <v>7</v>
      </c>
      <c r="K2" s="3" t="s">
        <v>490</v>
      </c>
    </row>
    <row r="3" spans="1:11" hidden="1" x14ac:dyDescent="0.25">
      <c r="A3" s="1" t="s">
        <v>160</v>
      </c>
      <c r="B3" s="1" t="s">
        <v>3</v>
      </c>
      <c r="C3" s="1">
        <v>1</v>
      </c>
      <c r="D3" s="1" t="s">
        <v>4</v>
      </c>
      <c r="E3" s="1" t="s">
        <v>491</v>
      </c>
      <c r="F3" s="1" t="str">
        <f>IF(COUNTIF(D:D,"="&amp;D3)=1,"Oui","Non")</f>
        <v>Oui</v>
      </c>
      <c r="G3" s="3" t="s">
        <v>492</v>
      </c>
      <c r="H3" s="1" t="s">
        <v>454</v>
      </c>
      <c r="I3" s="1" t="s">
        <v>387</v>
      </c>
      <c r="J3" s="9" t="s">
        <v>387</v>
      </c>
      <c r="K3" s="3" t="s">
        <v>388</v>
      </c>
    </row>
    <row r="4" spans="1:11" hidden="1" x14ac:dyDescent="0.25">
      <c r="A4" s="1" t="s">
        <v>160</v>
      </c>
      <c r="B4" s="1" t="s">
        <v>3</v>
      </c>
      <c r="C4" s="1">
        <v>1</v>
      </c>
      <c r="D4" s="1" t="s">
        <v>5</v>
      </c>
      <c r="E4" s="1" t="s">
        <v>311</v>
      </c>
      <c r="F4" s="1" t="str">
        <f>IF(COUNTIF(D:D,"="&amp;D4)=1,"Oui","Non")</f>
        <v>Non</v>
      </c>
      <c r="G4" s="3" t="s">
        <v>386</v>
      </c>
      <c r="H4" s="1" t="s">
        <v>424</v>
      </c>
      <c r="I4" s="1" t="s">
        <v>387</v>
      </c>
      <c r="J4" s="9" t="s">
        <v>387</v>
      </c>
      <c r="K4" s="3" t="s">
        <v>388</v>
      </c>
    </row>
    <row r="5" spans="1:11" ht="30" hidden="1" x14ac:dyDescent="0.25">
      <c r="A5" s="1" t="s">
        <v>160</v>
      </c>
      <c r="B5" s="1" t="s">
        <v>3</v>
      </c>
      <c r="C5" s="1">
        <v>1</v>
      </c>
      <c r="D5" s="1" t="s">
        <v>6</v>
      </c>
      <c r="E5" s="1" t="s">
        <v>560</v>
      </c>
      <c r="F5" s="1" t="str">
        <f>IF(COUNTIF(D:D,"="&amp;D5)=1,"Oui","Non")</f>
        <v>Oui</v>
      </c>
      <c r="G5" s="3" t="s">
        <v>493</v>
      </c>
      <c r="H5" s="1" t="s">
        <v>390</v>
      </c>
      <c r="I5" s="1" t="s">
        <v>387</v>
      </c>
      <c r="J5" s="9" t="s">
        <v>387</v>
      </c>
      <c r="K5" s="3" t="s">
        <v>411</v>
      </c>
    </row>
    <row r="6" spans="1:11" hidden="1" x14ac:dyDescent="0.25">
      <c r="A6" s="1" t="s">
        <v>160</v>
      </c>
      <c r="B6" s="1" t="s">
        <v>3</v>
      </c>
      <c r="C6" s="1">
        <v>1</v>
      </c>
      <c r="D6" s="1" t="s">
        <v>7</v>
      </c>
      <c r="E6" s="1" t="s">
        <v>687</v>
      </c>
      <c r="F6" s="1" t="str">
        <f>IF(COUNTIF(D:D,"="&amp;D6)=1,"Oui","Non")</f>
        <v>Non</v>
      </c>
      <c r="G6" s="3" t="s">
        <v>391</v>
      </c>
      <c r="H6" s="1" t="s">
        <v>390</v>
      </c>
      <c r="I6" s="1" t="s">
        <v>477</v>
      </c>
      <c r="J6" s="9">
        <v>7</v>
      </c>
      <c r="K6" s="3" t="s">
        <v>388</v>
      </c>
    </row>
    <row r="7" spans="1:11" hidden="1" x14ac:dyDescent="0.25">
      <c r="A7" s="1" t="s">
        <v>160</v>
      </c>
      <c r="B7" s="1" t="s">
        <v>3</v>
      </c>
      <c r="C7" s="1">
        <v>2</v>
      </c>
      <c r="D7" s="1" t="s">
        <v>8</v>
      </c>
      <c r="E7" s="1" t="s">
        <v>296</v>
      </c>
      <c r="F7" s="1" t="str">
        <f>IF(COUNTIF(D:D,"="&amp;D7)=1,"Oui","Non")</f>
        <v>Non</v>
      </c>
      <c r="G7" s="3" t="s">
        <v>393</v>
      </c>
      <c r="H7" s="1" t="s">
        <v>424</v>
      </c>
      <c r="I7" s="1" t="s">
        <v>478</v>
      </c>
      <c r="J7" s="9" t="s">
        <v>475</v>
      </c>
      <c r="K7" s="3" t="s">
        <v>392</v>
      </c>
    </row>
    <row r="8" spans="1:11" s="2" customFormat="1" hidden="1" x14ac:dyDescent="0.25">
      <c r="A8" s="2" t="s">
        <v>160</v>
      </c>
      <c r="B8" s="2" t="s">
        <v>3</v>
      </c>
      <c r="C8" s="2">
        <v>2</v>
      </c>
      <c r="D8" s="2" t="s">
        <v>9</v>
      </c>
      <c r="E8" s="2" t="s">
        <v>560</v>
      </c>
      <c r="F8" s="2" t="str">
        <f>IF(COUNTIF(D:D,"="&amp;D8)=1,"Oui","Non")</f>
        <v>Non</v>
      </c>
      <c r="G8" s="4" t="s">
        <v>394</v>
      </c>
      <c r="H8" s="2" t="s">
        <v>390</v>
      </c>
      <c r="I8" s="2" t="s">
        <v>479</v>
      </c>
      <c r="J8" s="10">
        <v>7</v>
      </c>
      <c r="K8" s="4" t="s">
        <v>388</v>
      </c>
    </row>
    <row r="9" spans="1:11" ht="30" hidden="1" x14ac:dyDescent="0.25">
      <c r="A9" s="1" t="s">
        <v>160</v>
      </c>
      <c r="B9" s="1" t="s">
        <v>3</v>
      </c>
      <c r="C9" s="1">
        <v>2</v>
      </c>
      <c r="D9" s="1" t="s">
        <v>10</v>
      </c>
      <c r="E9" s="1" t="s">
        <v>595</v>
      </c>
      <c r="F9" s="1" t="str">
        <f>IF(COUNTIF(D:D,"="&amp;D9)=1,"Oui","Non")</f>
        <v>Oui</v>
      </c>
      <c r="G9" s="3" t="s">
        <v>494</v>
      </c>
      <c r="H9" s="1" t="s">
        <v>390</v>
      </c>
      <c r="I9" s="1" t="s">
        <v>480</v>
      </c>
      <c r="J9" s="9">
        <v>7</v>
      </c>
      <c r="K9" s="3" t="s">
        <v>495</v>
      </c>
    </row>
    <row r="10" spans="1:11" hidden="1" x14ac:dyDescent="0.25">
      <c r="A10" s="1" t="s">
        <v>160</v>
      </c>
      <c r="B10" s="1" t="s">
        <v>3</v>
      </c>
      <c r="C10" s="1">
        <v>2</v>
      </c>
      <c r="D10" s="1" t="s">
        <v>497</v>
      </c>
      <c r="E10" s="1" t="s">
        <v>595</v>
      </c>
      <c r="F10" s="1" t="str">
        <f>IF(COUNTIF(D:D,"="&amp;D10)=1,"Oui","Non")</f>
        <v>Oui</v>
      </c>
      <c r="G10" s="3" t="s">
        <v>498</v>
      </c>
      <c r="H10" s="1" t="s">
        <v>390</v>
      </c>
      <c r="I10" s="1" t="s">
        <v>499</v>
      </c>
      <c r="J10" s="9" t="s">
        <v>500</v>
      </c>
      <c r="K10" s="3" t="s">
        <v>449</v>
      </c>
    </row>
    <row r="11" spans="1:11" hidden="1" x14ac:dyDescent="0.25">
      <c r="A11" s="1" t="s">
        <v>160</v>
      </c>
      <c r="B11" s="1" t="s">
        <v>3</v>
      </c>
      <c r="C11" s="1">
        <v>3</v>
      </c>
      <c r="D11" s="1" t="s">
        <v>11</v>
      </c>
      <c r="E11" s="1" t="s">
        <v>595</v>
      </c>
      <c r="F11" s="1" t="str">
        <f>IF(COUNTIF(D:D,"="&amp;D11)=1,"Oui","Non")</f>
        <v>Non</v>
      </c>
      <c r="G11" s="3" t="s">
        <v>397</v>
      </c>
      <c r="H11" s="1" t="s">
        <v>396</v>
      </c>
      <c r="I11" s="1" t="s">
        <v>480</v>
      </c>
      <c r="J11" s="9">
        <v>8</v>
      </c>
      <c r="K11" s="3" t="s">
        <v>398</v>
      </c>
    </row>
    <row r="12" spans="1:11" hidden="1" x14ac:dyDescent="0.25">
      <c r="A12" s="1" t="s">
        <v>160</v>
      </c>
      <c r="B12" s="1" t="s">
        <v>3</v>
      </c>
      <c r="C12" s="1">
        <v>3</v>
      </c>
      <c r="D12" s="1" t="s">
        <v>12</v>
      </c>
      <c r="E12" s="1" t="s">
        <v>399</v>
      </c>
      <c r="F12" s="1" t="str">
        <f>IF(COUNTIF(D:D,"="&amp;D12)=1,"Oui","Non")</f>
        <v>Non</v>
      </c>
      <c r="G12" s="3" t="s">
        <v>400</v>
      </c>
      <c r="H12" s="1" t="s">
        <v>424</v>
      </c>
      <c r="I12" s="1" t="s">
        <v>478</v>
      </c>
      <c r="J12" s="9" t="s">
        <v>475</v>
      </c>
      <c r="K12" s="3" t="s">
        <v>401</v>
      </c>
    </row>
    <row r="13" spans="1:11" hidden="1" x14ac:dyDescent="0.25">
      <c r="A13" s="1" t="s">
        <v>160</v>
      </c>
      <c r="B13" s="1" t="s">
        <v>3</v>
      </c>
      <c r="C13" s="1">
        <v>3</v>
      </c>
      <c r="D13" s="1" t="s">
        <v>13</v>
      </c>
      <c r="E13" s="1" t="s">
        <v>305</v>
      </c>
      <c r="F13" s="1" t="str">
        <f>IF(COUNTIF(D:D,"="&amp;D13)=1,"Oui","Non")</f>
        <v>Oui</v>
      </c>
      <c r="G13" s="3" t="s">
        <v>501</v>
      </c>
      <c r="H13" s="1" t="s">
        <v>424</v>
      </c>
      <c r="I13" s="1" t="s">
        <v>387</v>
      </c>
      <c r="J13" s="9" t="s">
        <v>387</v>
      </c>
      <c r="K13" s="3" t="s">
        <v>388</v>
      </c>
    </row>
    <row r="14" spans="1:11" hidden="1" x14ac:dyDescent="0.25">
      <c r="A14" s="1" t="s">
        <v>160</v>
      </c>
      <c r="B14" s="1" t="s">
        <v>3</v>
      </c>
      <c r="C14" s="1">
        <v>3</v>
      </c>
      <c r="D14" s="1" t="s">
        <v>14</v>
      </c>
      <c r="E14" s="1" t="s">
        <v>395</v>
      </c>
      <c r="F14" s="1" t="str">
        <f>IF(COUNTIF(D:D,"="&amp;D14)=1,"Oui","Non")</f>
        <v>Oui</v>
      </c>
      <c r="G14" s="3" t="s">
        <v>502</v>
      </c>
      <c r="H14" s="1" t="s">
        <v>390</v>
      </c>
      <c r="I14" s="1" t="s">
        <v>503</v>
      </c>
      <c r="J14" s="9" t="s">
        <v>488</v>
      </c>
      <c r="K14" s="3" t="s">
        <v>388</v>
      </c>
    </row>
    <row r="15" spans="1:11" hidden="1" x14ac:dyDescent="0.25">
      <c r="A15" s="1" t="s">
        <v>160</v>
      </c>
      <c r="B15" s="1" t="s">
        <v>3</v>
      </c>
      <c r="C15" s="1">
        <v>4</v>
      </c>
      <c r="D15" s="1" t="s">
        <v>15</v>
      </c>
      <c r="E15" s="1" t="s">
        <v>402</v>
      </c>
      <c r="F15" s="1" t="str">
        <f>IF(COUNTIF(D:D,"="&amp;D15)=1,"Oui","Non")</f>
        <v>Non</v>
      </c>
      <c r="G15" s="3" t="s">
        <v>403</v>
      </c>
      <c r="H15" s="1" t="s">
        <v>390</v>
      </c>
      <c r="I15" s="1" t="s">
        <v>404</v>
      </c>
      <c r="J15" s="9">
        <v>6</v>
      </c>
      <c r="K15" s="3" t="s">
        <v>388</v>
      </c>
    </row>
    <row r="16" spans="1:11" hidden="1" x14ac:dyDescent="0.25">
      <c r="A16" s="1" t="s">
        <v>160</v>
      </c>
      <c r="B16" s="1" t="s">
        <v>3</v>
      </c>
      <c r="C16" s="1">
        <v>4</v>
      </c>
      <c r="D16" s="1" t="s">
        <v>16</v>
      </c>
      <c r="E16" s="1" t="s">
        <v>389</v>
      </c>
      <c r="F16" s="1" t="str">
        <f>IF(COUNTIF(D:D,"="&amp;D16)=1,"Oui","Non")</f>
        <v>Oui</v>
      </c>
      <c r="G16" s="3" t="s">
        <v>504</v>
      </c>
      <c r="H16" s="1" t="s">
        <v>424</v>
      </c>
      <c r="I16" s="1" t="s">
        <v>387</v>
      </c>
      <c r="J16" s="9" t="s">
        <v>387</v>
      </c>
      <c r="K16" s="3" t="s">
        <v>505</v>
      </c>
    </row>
    <row r="17" spans="1:11" hidden="1" x14ac:dyDescent="0.25">
      <c r="A17" s="1" t="s">
        <v>160</v>
      </c>
      <c r="B17" s="1" t="s">
        <v>3</v>
      </c>
      <c r="C17" s="1">
        <v>4</v>
      </c>
      <c r="D17" s="1" t="s">
        <v>405</v>
      </c>
      <c r="E17" s="1" t="s">
        <v>93</v>
      </c>
      <c r="F17" s="1" t="str">
        <f>IF(COUNTIF(D:D,"="&amp;D17)=1,"Oui","Non")</f>
        <v>Non</v>
      </c>
      <c r="G17" s="3" t="s">
        <v>406</v>
      </c>
      <c r="H17" s="1" t="s">
        <v>424</v>
      </c>
      <c r="I17" s="1" t="s">
        <v>481</v>
      </c>
      <c r="J17" s="9">
        <v>7</v>
      </c>
      <c r="K17" s="3" t="s">
        <v>388</v>
      </c>
    </row>
    <row r="18" spans="1:11" hidden="1" x14ac:dyDescent="0.25">
      <c r="A18" s="1" t="s">
        <v>160</v>
      </c>
      <c r="B18" s="1" t="s">
        <v>3</v>
      </c>
      <c r="C18" s="1">
        <v>4</v>
      </c>
      <c r="D18" s="1" t="s">
        <v>17</v>
      </c>
      <c r="E18" s="1" t="s">
        <v>595</v>
      </c>
      <c r="F18" s="1" t="str">
        <f>IF(COUNTIF(D:D,"="&amp;D18)=1,"Oui","Non")</f>
        <v>Oui</v>
      </c>
      <c r="G18" s="3" t="s">
        <v>506</v>
      </c>
      <c r="H18" s="1" t="s">
        <v>424</v>
      </c>
      <c r="I18" s="1" t="s">
        <v>441</v>
      </c>
      <c r="J18" s="9" t="s">
        <v>488</v>
      </c>
      <c r="K18" s="3" t="s">
        <v>507</v>
      </c>
    </row>
    <row r="19" spans="1:11" hidden="1" x14ac:dyDescent="0.25">
      <c r="A19" s="1" t="s">
        <v>160</v>
      </c>
      <c r="B19" s="1" t="s">
        <v>3</v>
      </c>
      <c r="C19" s="1">
        <v>5</v>
      </c>
      <c r="D19" s="1" t="s">
        <v>18</v>
      </c>
      <c r="E19" s="1" t="s">
        <v>560</v>
      </c>
      <c r="F19" s="1" t="str">
        <f>IF(COUNTIF(D:D,"="&amp;D19)=1,"Oui","Non")</f>
        <v>Oui</v>
      </c>
      <c r="G19" s="3" t="s">
        <v>508</v>
      </c>
      <c r="H19" s="1" t="s">
        <v>390</v>
      </c>
      <c r="I19" s="1" t="s">
        <v>503</v>
      </c>
      <c r="J19" s="9" t="s">
        <v>509</v>
      </c>
      <c r="K19" s="3" t="s">
        <v>388</v>
      </c>
    </row>
    <row r="20" spans="1:11" hidden="1" x14ac:dyDescent="0.25">
      <c r="A20" s="1" t="s">
        <v>160</v>
      </c>
      <c r="B20" s="1" t="s">
        <v>3</v>
      </c>
      <c r="C20" s="1">
        <v>5</v>
      </c>
      <c r="D20" s="1" t="s">
        <v>19</v>
      </c>
      <c r="E20" s="1" t="s">
        <v>595</v>
      </c>
      <c r="F20" s="1" t="str">
        <f>IF(COUNTIF(D:D,"="&amp;D20)=1,"Oui","Non")</f>
        <v>Oui</v>
      </c>
      <c r="G20" s="3" t="s">
        <v>511</v>
      </c>
      <c r="H20" s="1" t="s">
        <v>424</v>
      </c>
      <c r="I20" s="1" t="s">
        <v>510</v>
      </c>
      <c r="J20" s="9">
        <v>6</v>
      </c>
      <c r="K20" s="3" t="s">
        <v>388</v>
      </c>
    </row>
    <row r="21" spans="1:11" ht="45" hidden="1" x14ac:dyDescent="0.25">
      <c r="A21" s="1" t="s">
        <v>160</v>
      </c>
      <c r="B21" s="1" t="s">
        <v>3</v>
      </c>
      <c r="C21" s="1">
        <v>5</v>
      </c>
      <c r="D21" s="1" t="s">
        <v>20</v>
      </c>
      <c r="E21" s="1" t="s">
        <v>560</v>
      </c>
      <c r="F21" s="1" t="str">
        <f>IF(COUNTIF(D:D,"="&amp;D21)=1,"Oui","Non")</f>
        <v>Oui</v>
      </c>
      <c r="G21" s="3" t="s">
        <v>512</v>
      </c>
      <c r="H21" s="1" t="s">
        <v>390</v>
      </c>
      <c r="I21" s="1" t="s">
        <v>387</v>
      </c>
      <c r="J21" s="9" t="s">
        <v>387</v>
      </c>
      <c r="K21" s="3" t="s">
        <v>411</v>
      </c>
    </row>
    <row r="22" spans="1:11" hidden="1" x14ac:dyDescent="0.25">
      <c r="A22" s="1" t="s">
        <v>160</v>
      </c>
      <c r="B22" s="1" t="s">
        <v>21</v>
      </c>
      <c r="C22" s="1">
        <v>1</v>
      </c>
      <c r="D22" s="1" t="s">
        <v>22</v>
      </c>
      <c r="E22" s="1" t="s">
        <v>496</v>
      </c>
      <c r="F22" s="1" t="str">
        <f>IF(COUNTIF(D:D,"="&amp;D22)=1,"Oui","Non")</f>
        <v>Oui</v>
      </c>
      <c r="G22" s="3" t="s">
        <v>514</v>
      </c>
      <c r="H22" s="1" t="s">
        <v>513</v>
      </c>
      <c r="I22" s="1" t="s">
        <v>387</v>
      </c>
      <c r="J22" s="9" t="s">
        <v>387</v>
      </c>
      <c r="K22" s="3" t="s">
        <v>388</v>
      </c>
    </row>
    <row r="23" spans="1:11" ht="30" hidden="1" x14ac:dyDescent="0.25">
      <c r="A23" s="1" t="s">
        <v>160</v>
      </c>
      <c r="B23" s="1" t="s">
        <v>21</v>
      </c>
      <c r="C23" s="1">
        <v>1</v>
      </c>
      <c r="D23" s="1" t="s">
        <v>23</v>
      </c>
      <c r="E23" s="1" t="s">
        <v>311</v>
      </c>
      <c r="F23" s="1" t="str">
        <f>IF(COUNTIF(D:D,"="&amp;D23)=1,"Oui","Non")</f>
        <v>Oui</v>
      </c>
      <c r="G23" s="3" t="s">
        <v>515</v>
      </c>
      <c r="H23" s="1" t="s">
        <v>424</v>
      </c>
      <c r="I23" s="1" t="s">
        <v>441</v>
      </c>
      <c r="J23" s="9">
        <v>6</v>
      </c>
      <c r="K23" s="3" t="s">
        <v>398</v>
      </c>
    </row>
    <row r="24" spans="1:11" ht="30" hidden="1" x14ac:dyDescent="0.25">
      <c r="A24" s="1" t="s">
        <v>160</v>
      </c>
      <c r="B24" s="1" t="s">
        <v>21</v>
      </c>
      <c r="C24" s="1">
        <v>1</v>
      </c>
      <c r="D24" s="1" t="s">
        <v>24</v>
      </c>
      <c r="E24" s="1" t="s">
        <v>520</v>
      </c>
      <c r="F24" s="1" t="str">
        <f>IF(COUNTIF(D:D,"="&amp;D24)=1,"Oui","Non")</f>
        <v>Oui</v>
      </c>
      <c r="G24" s="3" t="s">
        <v>516</v>
      </c>
      <c r="H24" s="1" t="s">
        <v>424</v>
      </c>
      <c r="I24" s="1" t="s">
        <v>420</v>
      </c>
      <c r="J24" s="9">
        <v>7</v>
      </c>
      <c r="K24" s="3" t="s">
        <v>388</v>
      </c>
    </row>
    <row r="25" spans="1:11" ht="30" hidden="1" x14ac:dyDescent="0.25">
      <c r="A25" s="1" t="s">
        <v>160</v>
      </c>
      <c r="B25" s="1" t="s">
        <v>21</v>
      </c>
      <c r="C25" s="1">
        <v>1</v>
      </c>
      <c r="D25" s="1" t="s">
        <v>25</v>
      </c>
      <c r="E25" s="1" t="s">
        <v>520</v>
      </c>
      <c r="F25" s="1" t="str">
        <f>IF(COUNTIF(D:D,"="&amp;D25)=1,"Oui","Non")</f>
        <v>Oui</v>
      </c>
      <c r="G25" s="3" t="s">
        <v>518</v>
      </c>
      <c r="H25" s="1" t="s">
        <v>390</v>
      </c>
      <c r="I25" s="1" t="s">
        <v>519</v>
      </c>
      <c r="J25" s="9">
        <v>7</v>
      </c>
      <c r="K25" s="3" t="s">
        <v>398</v>
      </c>
    </row>
    <row r="26" spans="1:11" ht="30" hidden="1" x14ac:dyDescent="0.25">
      <c r="A26" s="1" t="s">
        <v>160</v>
      </c>
      <c r="B26" s="1" t="s">
        <v>21</v>
      </c>
      <c r="C26" s="1">
        <v>1</v>
      </c>
      <c r="D26" s="1" t="s">
        <v>87</v>
      </c>
      <c r="E26" s="1" t="s">
        <v>412</v>
      </c>
      <c r="F26" s="1" t="str">
        <f>IF(COUNTIF(D:D,"="&amp;D26)=1,"Oui","Non")</f>
        <v>Non</v>
      </c>
      <c r="G26" s="3" t="s">
        <v>408</v>
      </c>
      <c r="H26" s="1" t="s">
        <v>390</v>
      </c>
      <c r="I26" s="1" t="s">
        <v>409</v>
      </c>
      <c r="J26" s="9" t="s">
        <v>475</v>
      </c>
      <c r="K26" s="3" t="s">
        <v>398</v>
      </c>
    </row>
    <row r="27" spans="1:11" hidden="1" x14ac:dyDescent="0.25">
      <c r="A27" s="1" t="s">
        <v>160</v>
      </c>
      <c r="B27" s="1" t="s">
        <v>21</v>
      </c>
      <c r="C27" s="1">
        <v>2</v>
      </c>
      <c r="D27" s="1" t="s">
        <v>26</v>
      </c>
      <c r="E27" s="1" t="s">
        <v>520</v>
      </c>
      <c r="F27" s="1" t="str">
        <f>IF(COUNTIF(D:D,"="&amp;D27)=1,"Oui","Non")</f>
        <v>Oui</v>
      </c>
      <c r="G27" s="3" t="s">
        <v>521</v>
      </c>
      <c r="H27" s="1" t="s">
        <v>390</v>
      </c>
      <c r="I27" s="1" t="s">
        <v>522</v>
      </c>
      <c r="J27" s="9" t="s">
        <v>525</v>
      </c>
    </row>
    <row r="28" spans="1:11" hidden="1" x14ac:dyDescent="0.25">
      <c r="A28" s="1" t="s">
        <v>160</v>
      </c>
      <c r="B28" s="1" t="s">
        <v>21</v>
      </c>
      <c r="C28" s="1">
        <v>2</v>
      </c>
      <c r="D28" s="1" t="s">
        <v>27</v>
      </c>
      <c r="E28" s="1" t="s">
        <v>402</v>
      </c>
      <c r="F28" s="1" t="str">
        <f>IF(COUNTIF(D:D,"="&amp;D28)=1,"Oui","Non")</f>
        <v>Non</v>
      </c>
      <c r="G28" s="3" t="s">
        <v>410</v>
      </c>
      <c r="H28" s="1" t="s">
        <v>390</v>
      </c>
      <c r="I28" s="1" t="s">
        <v>387</v>
      </c>
      <c r="J28" s="9" t="s">
        <v>387</v>
      </c>
      <c r="K28" s="3" t="s">
        <v>411</v>
      </c>
    </row>
    <row r="29" spans="1:11" hidden="1" x14ac:dyDescent="0.25">
      <c r="A29" s="1" t="s">
        <v>160</v>
      </c>
      <c r="B29" s="1" t="s">
        <v>21</v>
      </c>
      <c r="C29" s="1">
        <v>2</v>
      </c>
      <c r="D29" s="1" t="s">
        <v>28</v>
      </c>
      <c r="E29" s="1" t="s">
        <v>422</v>
      </c>
      <c r="F29" s="1" t="str">
        <f>IF(COUNTIF(D:D,"="&amp;D29)=1,"Oui","Non")</f>
        <v>Oui</v>
      </c>
      <c r="G29" s="3" t="s">
        <v>523</v>
      </c>
      <c r="H29" s="1" t="s">
        <v>424</v>
      </c>
      <c r="I29" s="1" t="s">
        <v>524</v>
      </c>
      <c r="J29" s="9" t="s">
        <v>488</v>
      </c>
    </row>
    <row r="30" spans="1:11" hidden="1" x14ac:dyDescent="0.25">
      <c r="A30" s="1" t="s">
        <v>160</v>
      </c>
      <c r="B30" s="1" t="s">
        <v>21</v>
      </c>
      <c r="C30" s="1">
        <v>2</v>
      </c>
      <c r="D30" s="1" t="s">
        <v>29</v>
      </c>
      <c r="E30" s="1" t="s">
        <v>412</v>
      </c>
      <c r="F30" s="1" t="str">
        <f>IF(COUNTIF(D:D,"="&amp;D30)=1,"Oui","Non")</f>
        <v>Non</v>
      </c>
      <c r="G30" s="3" t="s">
        <v>413</v>
      </c>
      <c r="H30" s="1" t="s">
        <v>390</v>
      </c>
      <c r="I30" s="1" t="s">
        <v>414</v>
      </c>
      <c r="J30" s="9">
        <v>7</v>
      </c>
      <c r="K30" s="3" t="s">
        <v>398</v>
      </c>
    </row>
    <row r="31" spans="1:11" hidden="1" x14ac:dyDescent="0.25">
      <c r="A31" s="1" t="s">
        <v>160</v>
      </c>
      <c r="B31" s="1" t="s">
        <v>21</v>
      </c>
      <c r="C31" s="1">
        <v>3</v>
      </c>
      <c r="D31" s="1" t="s">
        <v>30</v>
      </c>
      <c r="E31" s="1" t="s">
        <v>427</v>
      </c>
      <c r="F31" s="1" t="str">
        <f>IF(COUNTIF(D:D,"="&amp;D31)=1,"Oui","Non")</f>
        <v>Oui</v>
      </c>
      <c r="G31" s="3" t="s">
        <v>526</v>
      </c>
      <c r="H31" s="1" t="s">
        <v>424</v>
      </c>
      <c r="I31" s="1" t="s">
        <v>387</v>
      </c>
      <c r="J31" s="9" t="s">
        <v>387</v>
      </c>
      <c r="K31" s="3" t="s">
        <v>388</v>
      </c>
    </row>
    <row r="32" spans="1:11" ht="30" hidden="1" x14ac:dyDescent="0.25">
      <c r="A32" s="1" t="s">
        <v>160</v>
      </c>
      <c r="B32" s="1" t="s">
        <v>21</v>
      </c>
      <c r="C32" s="1">
        <v>3</v>
      </c>
      <c r="D32" s="1" t="s">
        <v>31</v>
      </c>
      <c r="E32" s="1" t="s">
        <v>395</v>
      </c>
      <c r="F32" s="1" t="str">
        <f>IF(COUNTIF(D:D,"="&amp;D32)=1,"Oui","Non")</f>
        <v>Oui</v>
      </c>
      <c r="G32" s="3" t="s">
        <v>527</v>
      </c>
      <c r="H32" s="1" t="s">
        <v>390</v>
      </c>
      <c r="I32" s="1" t="s">
        <v>488</v>
      </c>
      <c r="J32" s="9" t="s">
        <v>496</v>
      </c>
      <c r="K32" s="3" t="s">
        <v>388</v>
      </c>
    </row>
    <row r="33" spans="1:11" ht="30" hidden="1" x14ac:dyDescent="0.25">
      <c r="A33" s="1" t="s">
        <v>160</v>
      </c>
      <c r="B33" s="1" t="s">
        <v>21</v>
      </c>
      <c r="C33" s="1">
        <v>3</v>
      </c>
      <c r="D33" s="1" t="s">
        <v>32</v>
      </c>
      <c r="E33" s="1" t="s">
        <v>422</v>
      </c>
      <c r="F33" s="1" t="str">
        <f>IF(COUNTIF(D:D,"="&amp;D33)=1,"Oui","Non")</f>
        <v>Non</v>
      </c>
      <c r="G33" s="3" t="s">
        <v>528</v>
      </c>
      <c r="H33" s="1" t="s">
        <v>396</v>
      </c>
      <c r="I33" s="1" t="s">
        <v>510</v>
      </c>
      <c r="J33" s="9">
        <v>8</v>
      </c>
      <c r="K33" s="3" t="s">
        <v>388</v>
      </c>
    </row>
    <row r="34" spans="1:11" hidden="1" x14ac:dyDescent="0.25">
      <c r="A34" s="1" t="s">
        <v>160</v>
      </c>
      <c r="B34" s="1" t="s">
        <v>21</v>
      </c>
      <c r="C34" s="1">
        <v>3</v>
      </c>
      <c r="D34" s="1" t="s">
        <v>33</v>
      </c>
      <c r="E34" s="1" t="s">
        <v>520</v>
      </c>
      <c r="F34" s="1" t="str">
        <f>IF(COUNTIF(D:D,"="&amp;D34)=1,"Oui","Non")</f>
        <v>Oui</v>
      </c>
      <c r="G34" s="3" t="s">
        <v>529</v>
      </c>
      <c r="H34" s="1" t="s">
        <v>390</v>
      </c>
      <c r="I34" s="1" t="s">
        <v>387</v>
      </c>
      <c r="J34" s="9" t="s">
        <v>387</v>
      </c>
      <c r="K34" s="3" t="s">
        <v>411</v>
      </c>
    </row>
    <row r="35" spans="1:11" hidden="1" x14ac:dyDescent="0.25">
      <c r="A35" s="1" t="s">
        <v>160</v>
      </c>
      <c r="B35" s="1" t="s">
        <v>21</v>
      </c>
      <c r="C35" s="1">
        <v>4</v>
      </c>
      <c r="D35" s="1" t="s">
        <v>34</v>
      </c>
      <c r="E35" s="1" t="s">
        <v>520</v>
      </c>
      <c r="F35" s="1" t="str">
        <f>IF(COUNTIF(D:D,"="&amp;D35)=1,"Oui","Non")</f>
        <v>Oui</v>
      </c>
      <c r="G35" s="3" t="s">
        <v>530</v>
      </c>
      <c r="H35" s="1" t="s">
        <v>424</v>
      </c>
      <c r="I35" s="1" t="s">
        <v>387</v>
      </c>
      <c r="J35" s="9" t="s">
        <v>387</v>
      </c>
      <c r="K35" s="3" t="s">
        <v>388</v>
      </c>
    </row>
    <row r="36" spans="1:11" hidden="1" x14ac:dyDescent="0.25">
      <c r="A36" s="1" t="s">
        <v>160</v>
      </c>
      <c r="B36" s="1" t="s">
        <v>21</v>
      </c>
      <c r="C36" s="1">
        <v>4</v>
      </c>
      <c r="D36" s="1" t="s">
        <v>35</v>
      </c>
      <c r="E36" s="1" t="s">
        <v>496</v>
      </c>
      <c r="F36" s="1" t="str">
        <f>IF(COUNTIF(D:D,"="&amp;D36)=1,"Oui","Non")</f>
        <v>Oui</v>
      </c>
      <c r="G36" s="3" t="s">
        <v>531</v>
      </c>
      <c r="H36" s="1" t="s">
        <v>454</v>
      </c>
      <c r="I36" s="1" t="s">
        <v>496</v>
      </c>
      <c r="J36" s="9">
        <v>6</v>
      </c>
      <c r="K36" s="3" t="s">
        <v>398</v>
      </c>
    </row>
    <row r="37" spans="1:11" hidden="1" x14ac:dyDescent="0.25">
      <c r="A37" s="1" t="s">
        <v>160</v>
      </c>
      <c r="B37" s="1" t="s">
        <v>21</v>
      </c>
      <c r="C37" s="1">
        <v>4</v>
      </c>
      <c r="D37" s="1" t="s">
        <v>36</v>
      </c>
      <c r="E37" s="1" t="s">
        <v>422</v>
      </c>
      <c r="F37" s="1" t="str">
        <f>IF(COUNTIF(D:D,"="&amp;D37)=1,"Oui","Non")</f>
        <v>Oui</v>
      </c>
      <c r="G37" s="3" t="s">
        <v>532</v>
      </c>
      <c r="H37" s="1" t="s">
        <v>424</v>
      </c>
      <c r="I37" s="1" t="s">
        <v>488</v>
      </c>
      <c r="J37" s="9" t="s">
        <v>475</v>
      </c>
      <c r="K37" s="3" t="s">
        <v>398</v>
      </c>
    </row>
    <row r="38" spans="1:11" ht="30" hidden="1" x14ac:dyDescent="0.25">
      <c r="A38" s="1" t="s">
        <v>160</v>
      </c>
      <c r="B38" s="1" t="s">
        <v>21</v>
      </c>
      <c r="C38" s="1">
        <v>4</v>
      </c>
      <c r="D38" s="1" t="s">
        <v>37</v>
      </c>
      <c r="E38" s="1" t="s">
        <v>520</v>
      </c>
      <c r="F38" s="1" t="str">
        <f>IF(COUNTIF(D:D,"="&amp;D38)=1,"Oui","Non")</f>
        <v>Oui</v>
      </c>
      <c r="G38" s="3" t="s">
        <v>533</v>
      </c>
      <c r="H38" s="1" t="s">
        <v>454</v>
      </c>
      <c r="I38" s="1" t="s">
        <v>387</v>
      </c>
      <c r="J38" s="9" t="s">
        <v>387</v>
      </c>
      <c r="K38" s="3" t="s">
        <v>472</v>
      </c>
    </row>
    <row r="39" spans="1:11" ht="45" hidden="1" x14ac:dyDescent="0.25">
      <c r="A39" s="1" t="s">
        <v>160</v>
      </c>
      <c r="B39" s="1" t="s">
        <v>21</v>
      </c>
      <c r="C39" s="1">
        <v>5</v>
      </c>
      <c r="D39" s="1" t="s">
        <v>38</v>
      </c>
      <c r="E39" s="1" t="s">
        <v>402</v>
      </c>
      <c r="F39" s="1" t="str">
        <f>IF(COUNTIF(D:D,"="&amp;D39)=1,"Oui","Non")</f>
        <v>Oui</v>
      </c>
      <c r="G39" s="3" t="s">
        <v>534</v>
      </c>
      <c r="H39" s="1" t="s">
        <v>390</v>
      </c>
      <c r="I39" s="1" t="s">
        <v>387</v>
      </c>
      <c r="J39" s="9" t="s">
        <v>387</v>
      </c>
      <c r="K39" s="3" t="s">
        <v>411</v>
      </c>
    </row>
    <row r="40" spans="1:11" ht="30" hidden="1" x14ac:dyDescent="0.25">
      <c r="A40" s="1" t="s">
        <v>160</v>
      </c>
      <c r="B40" s="1" t="s">
        <v>21</v>
      </c>
      <c r="C40" s="1">
        <v>5</v>
      </c>
      <c r="D40" s="1" t="s">
        <v>39</v>
      </c>
      <c r="E40" s="1" t="s">
        <v>407</v>
      </c>
      <c r="F40" s="1" t="str">
        <f>IF(COUNTIF(D:D,"="&amp;D40)=1,"Oui","Non")</f>
        <v>Oui</v>
      </c>
      <c r="G40" s="3" t="s">
        <v>535</v>
      </c>
      <c r="H40" s="1" t="s">
        <v>424</v>
      </c>
      <c r="I40" s="1" t="s">
        <v>536</v>
      </c>
      <c r="J40" s="9">
        <v>7</v>
      </c>
      <c r="K40" s="3" t="s">
        <v>398</v>
      </c>
    </row>
    <row r="41" spans="1:11" hidden="1" x14ac:dyDescent="0.25">
      <c r="A41" s="1" t="s">
        <v>160</v>
      </c>
      <c r="B41" s="1" t="s">
        <v>21</v>
      </c>
      <c r="C41" s="1">
        <v>5</v>
      </c>
      <c r="D41" s="1" t="s">
        <v>40</v>
      </c>
      <c r="E41" s="1" t="s">
        <v>422</v>
      </c>
      <c r="F41" s="1" t="str">
        <f>IF(COUNTIF(D:D,"="&amp;D41)=1,"Oui","Non")</f>
        <v>Oui</v>
      </c>
      <c r="G41" s="3" t="s">
        <v>537</v>
      </c>
      <c r="H41" s="1" t="s">
        <v>424</v>
      </c>
      <c r="I41" s="1" t="s">
        <v>538</v>
      </c>
      <c r="J41" s="9" t="s">
        <v>488</v>
      </c>
      <c r="K41" s="3" t="s">
        <v>495</v>
      </c>
    </row>
    <row r="42" spans="1:11" ht="30" hidden="1" x14ac:dyDescent="0.25">
      <c r="A42" s="1" t="s">
        <v>160</v>
      </c>
      <c r="B42" s="1" t="s">
        <v>41</v>
      </c>
      <c r="C42" s="1">
        <v>1</v>
      </c>
      <c r="D42" s="1" t="s">
        <v>42</v>
      </c>
      <c r="E42" s="1" t="s">
        <v>573</v>
      </c>
      <c r="F42" s="1" t="str">
        <f>IF(COUNTIF(D:D,"="&amp;D42)=1,"Oui","Non")</f>
        <v>Oui</v>
      </c>
      <c r="G42" s="3" t="s">
        <v>539</v>
      </c>
      <c r="H42" s="1" t="s">
        <v>390</v>
      </c>
      <c r="I42" s="1" t="s">
        <v>387</v>
      </c>
      <c r="J42" s="9" t="s">
        <v>387</v>
      </c>
      <c r="K42" s="3" t="s">
        <v>421</v>
      </c>
    </row>
    <row r="43" spans="1:11" hidden="1" x14ac:dyDescent="0.25">
      <c r="A43" s="1" t="s">
        <v>160</v>
      </c>
      <c r="B43" s="1" t="s">
        <v>41</v>
      </c>
      <c r="C43" s="1">
        <v>1</v>
      </c>
      <c r="D43" s="1" t="s">
        <v>43</v>
      </c>
      <c r="E43" s="1" t="s">
        <v>520</v>
      </c>
      <c r="F43" s="1" t="str">
        <f>IF(COUNTIF(D:D,"="&amp;D43)=1,"Oui","Non")</f>
        <v>Non</v>
      </c>
      <c r="G43" s="3" t="s">
        <v>416</v>
      </c>
      <c r="H43" s="1" t="s">
        <v>390</v>
      </c>
      <c r="I43" s="1" t="s">
        <v>522</v>
      </c>
      <c r="J43" s="9">
        <v>7</v>
      </c>
      <c r="K43" s="3" t="s">
        <v>388</v>
      </c>
    </row>
    <row r="44" spans="1:11" ht="30" hidden="1" x14ac:dyDescent="0.25">
      <c r="A44" s="1" t="s">
        <v>160</v>
      </c>
      <c r="B44" s="1" t="s">
        <v>41</v>
      </c>
      <c r="C44" s="1">
        <v>1</v>
      </c>
      <c r="D44" s="1" t="s">
        <v>44</v>
      </c>
      <c r="E44" s="1" t="s">
        <v>594</v>
      </c>
      <c r="F44" s="1" t="str">
        <f>IF(COUNTIF(D:D,"="&amp;D44)=1,"Oui","Non")</f>
        <v>Oui</v>
      </c>
      <c r="G44" s="3" t="s">
        <v>540</v>
      </c>
      <c r="H44" s="1" t="s">
        <v>390</v>
      </c>
      <c r="I44" s="1" t="s">
        <v>541</v>
      </c>
      <c r="J44" s="11" t="s">
        <v>542</v>
      </c>
      <c r="K44" s="3" t="s">
        <v>388</v>
      </c>
    </row>
    <row r="45" spans="1:11" hidden="1" x14ac:dyDescent="0.25">
      <c r="A45" s="1" t="s">
        <v>160</v>
      </c>
      <c r="B45" s="1" t="s">
        <v>41</v>
      </c>
      <c r="C45" s="1">
        <v>1</v>
      </c>
      <c r="D45" s="1" t="s">
        <v>45</v>
      </c>
      <c r="E45" s="1" t="s">
        <v>412</v>
      </c>
      <c r="F45" s="1" t="str">
        <f>IF(COUNTIF(D:D,"="&amp;D45)=1,"Oui","Non")</f>
        <v>Non</v>
      </c>
      <c r="G45" s="3" t="s">
        <v>417</v>
      </c>
      <c r="H45" s="1" t="s">
        <v>424</v>
      </c>
      <c r="I45" s="1" t="s">
        <v>387</v>
      </c>
      <c r="J45" s="9" t="s">
        <v>387</v>
      </c>
      <c r="K45" s="3" t="s">
        <v>388</v>
      </c>
    </row>
    <row r="46" spans="1:11" ht="30" hidden="1" x14ac:dyDescent="0.25">
      <c r="A46" s="1" t="s">
        <v>160</v>
      </c>
      <c r="B46" s="1" t="s">
        <v>41</v>
      </c>
      <c r="C46" s="1">
        <v>1</v>
      </c>
      <c r="D46" s="1" t="s">
        <v>46</v>
      </c>
      <c r="E46" s="1" t="s">
        <v>573</v>
      </c>
      <c r="F46" s="1" t="str">
        <f>IF(COUNTIF(D:D,"="&amp;D46)=1,"Oui","Non")</f>
        <v>Oui</v>
      </c>
      <c r="G46" s="3" t="s">
        <v>543</v>
      </c>
      <c r="H46" s="1" t="s">
        <v>390</v>
      </c>
      <c r="I46" s="1" t="s">
        <v>544</v>
      </c>
      <c r="J46" s="11" t="s">
        <v>545</v>
      </c>
      <c r="K46" s="3" t="s">
        <v>388</v>
      </c>
    </row>
    <row r="47" spans="1:11" ht="30" hidden="1" x14ac:dyDescent="0.25">
      <c r="A47" s="1" t="s">
        <v>160</v>
      </c>
      <c r="B47" s="1" t="s">
        <v>41</v>
      </c>
      <c r="C47" s="1">
        <v>2</v>
      </c>
      <c r="D47" s="1" t="s">
        <v>47</v>
      </c>
      <c r="E47" s="1" t="s">
        <v>576</v>
      </c>
      <c r="F47" s="1" t="str">
        <f>IF(COUNTIF(D:D,"="&amp;D47)=1,"Oui","Non")</f>
        <v>Non</v>
      </c>
      <c r="G47" s="3" t="s">
        <v>741</v>
      </c>
      <c r="H47" s="1" t="s">
        <v>390</v>
      </c>
      <c r="I47" s="1" t="s">
        <v>387</v>
      </c>
      <c r="J47" s="9" t="s">
        <v>387</v>
      </c>
      <c r="K47" s="3" t="s">
        <v>411</v>
      </c>
    </row>
    <row r="48" spans="1:11" hidden="1" x14ac:dyDescent="0.25">
      <c r="A48" s="1" t="s">
        <v>160</v>
      </c>
      <c r="B48" s="1" t="s">
        <v>41</v>
      </c>
      <c r="C48" s="1">
        <v>2</v>
      </c>
      <c r="D48" s="1" t="s">
        <v>48</v>
      </c>
      <c r="E48" s="1" t="s">
        <v>407</v>
      </c>
      <c r="F48" s="1" t="str">
        <f>IF(COUNTIF(D:D,"="&amp;D48)=1,"Oui","Non")</f>
        <v>Non</v>
      </c>
      <c r="G48" s="3" t="s">
        <v>418</v>
      </c>
      <c r="H48" s="1" t="s">
        <v>396</v>
      </c>
      <c r="I48" s="1" t="s">
        <v>409</v>
      </c>
      <c r="J48" s="9">
        <v>8</v>
      </c>
      <c r="K48" s="3" t="s">
        <v>398</v>
      </c>
    </row>
    <row r="49" spans="1:11" hidden="1" x14ac:dyDescent="0.25">
      <c r="A49" s="1" t="s">
        <v>160</v>
      </c>
      <c r="B49" s="1" t="s">
        <v>41</v>
      </c>
      <c r="C49" s="1">
        <v>2</v>
      </c>
      <c r="D49" s="1" t="s">
        <v>49</v>
      </c>
      <c r="E49" s="1" t="s">
        <v>412</v>
      </c>
      <c r="F49" s="1" t="str">
        <f>IF(COUNTIF(D:D,"="&amp;D49)=1,"Oui","Non")</f>
        <v>Oui</v>
      </c>
      <c r="G49" s="3" t="s">
        <v>546</v>
      </c>
      <c r="H49" s="1" t="s">
        <v>390</v>
      </c>
      <c r="I49" s="1" t="s">
        <v>547</v>
      </c>
      <c r="J49" s="9">
        <v>7</v>
      </c>
      <c r="K49" s="3" t="s">
        <v>388</v>
      </c>
    </row>
    <row r="50" spans="1:11" hidden="1" x14ac:dyDescent="0.25">
      <c r="A50" s="1" t="s">
        <v>160</v>
      </c>
      <c r="B50" s="1" t="s">
        <v>41</v>
      </c>
      <c r="C50" s="1">
        <v>2</v>
      </c>
      <c r="D50" s="1" t="s">
        <v>50</v>
      </c>
      <c r="E50" s="1" t="s">
        <v>412</v>
      </c>
      <c r="F50" s="1" t="str">
        <f>IF(COUNTIF(D:D,"="&amp;D50)=1,"Oui","Non")</f>
        <v>Oui</v>
      </c>
      <c r="G50" s="3" t="s">
        <v>548</v>
      </c>
      <c r="H50" s="1" t="s">
        <v>390</v>
      </c>
      <c r="I50" s="1" t="s">
        <v>387</v>
      </c>
      <c r="J50" s="9" t="s">
        <v>387</v>
      </c>
      <c r="K50" s="3" t="s">
        <v>411</v>
      </c>
    </row>
    <row r="51" spans="1:11" ht="30" hidden="1" x14ac:dyDescent="0.25">
      <c r="A51" s="1" t="s">
        <v>160</v>
      </c>
      <c r="B51" s="1" t="s">
        <v>41</v>
      </c>
      <c r="C51" s="1">
        <v>3</v>
      </c>
      <c r="D51" s="1" t="s">
        <v>51</v>
      </c>
      <c r="E51" s="1" t="s">
        <v>296</v>
      </c>
      <c r="F51" s="1" t="str">
        <f>IF(COUNTIF(D:D,"="&amp;D51)=1,"Oui","Non")</f>
        <v>Oui</v>
      </c>
      <c r="G51" s="3" t="s">
        <v>549</v>
      </c>
      <c r="H51" s="1" t="s">
        <v>454</v>
      </c>
      <c r="I51" s="1" t="s">
        <v>480</v>
      </c>
      <c r="J51" s="9">
        <v>6</v>
      </c>
      <c r="K51" s="3" t="s">
        <v>398</v>
      </c>
    </row>
    <row r="52" spans="1:11" s="2" customFormat="1" ht="30" hidden="1" x14ac:dyDescent="0.25">
      <c r="A52" s="2" t="s">
        <v>160</v>
      </c>
      <c r="B52" s="2" t="s">
        <v>41</v>
      </c>
      <c r="C52" s="2">
        <v>3</v>
      </c>
      <c r="D52" s="2" t="s">
        <v>52</v>
      </c>
      <c r="E52" s="2" t="s">
        <v>573</v>
      </c>
      <c r="F52" s="2" t="str">
        <f>IF(COUNTIF(D:D,"="&amp;D52)=1,"Oui","Non")</f>
        <v>Oui</v>
      </c>
      <c r="G52" s="4" t="s">
        <v>550</v>
      </c>
      <c r="H52" s="2" t="s">
        <v>454</v>
      </c>
      <c r="I52" s="2" t="s">
        <v>387</v>
      </c>
      <c r="J52" s="10" t="s">
        <v>387</v>
      </c>
      <c r="K52" s="4" t="s">
        <v>388</v>
      </c>
    </row>
    <row r="53" spans="1:11" ht="45" hidden="1" x14ac:dyDescent="0.25">
      <c r="A53" s="1" t="s">
        <v>160</v>
      </c>
      <c r="B53" s="1" t="s">
        <v>41</v>
      </c>
      <c r="C53" s="1">
        <v>3</v>
      </c>
      <c r="D53" s="1" t="s">
        <v>53</v>
      </c>
      <c r="E53" s="1" t="s">
        <v>520</v>
      </c>
      <c r="F53" s="1" t="str">
        <f>IF(COUNTIF(D:D,"="&amp;D53)=1,"Oui","Non")</f>
        <v>Oui</v>
      </c>
      <c r="G53" s="3" t="s">
        <v>551</v>
      </c>
      <c r="H53" s="1" t="s">
        <v>390</v>
      </c>
      <c r="I53" s="1" t="s">
        <v>387</v>
      </c>
      <c r="J53" s="9" t="s">
        <v>387</v>
      </c>
      <c r="K53" s="3" t="s">
        <v>411</v>
      </c>
    </row>
    <row r="54" spans="1:11" ht="45" hidden="1" x14ac:dyDescent="0.25">
      <c r="A54" s="1" t="s">
        <v>160</v>
      </c>
      <c r="B54" s="1" t="s">
        <v>41</v>
      </c>
      <c r="C54" s="1">
        <v>3</v>
      </c>
      <c r="D54" s="1" t="s">
        <v>754</v>
      </c>
      <c r="E54" s="1" t="s">
        <v>412</v>
      </c>
      <c r="F54" s="1" t="str">
        <f>IF(COUNTIF(D:D,"="&amp;D54)=1,"Oui","Non")</f>
        <v>Non</v>
      </c>
      <c r="G54" s="3" t="s">
        <v>753</v>
      </c>
      <c r="H54" s="1" t="s">
        <v>390</v>
      </c>
      <c r="I54" s="1" t="s">
        <v>485</v>
      </c>
      <c r="J54" s="9">
        <v>6</v>
      </c>
      <c r="K54" s="3" t="s">
        <v>398</v>
      </c>
    </row>
    <row r="55" spans="1:11" hidden="1" x14ac:dyDescent="0.25">
      <c r="A55" s="1" t="s">
        <v>160</v>
      </c>
      <c r="B55" s="1" t="s">
        <v>41</v>
      </c>
      <c r="C55" s="1">
        <v>3</v>
      </c>
      <c r="D55" s="1" t="s">
        <v>54</v>
      </c>
      <c r="E55" s="1" t="s">
        <v>402</v>
      </c>
      <c r="F55" s="1" t="str">
        <f>IF(COUNTIF(D:D,"="&amp;D55)=1,"Oui","Non")</f>
        <v>Non</v>
      </c>
      <c r="G55" s="3" t="s">
        <v>419</v>
      </c>
      <c r="H55" s="1" t="s">
        <v>390</v>
      </c>
      <c r="I55" s="1" t="s">
        <v>420</v>
      </c>
      <c r="J55" s="9" t="s">
        <v>387</v>
      </c>
      <c r="K55" s="3" t="s">
        <v>421</v>
      </c>
    </row>
    <row r="56" spans="1:11" hidden="1" x14ac:dyDescent="0.25">
      <c r="A56" s="1" t="s">
        <v>160</v>
      </c>
      <c r="B56" s="1" t="s">
        <v>41</v>
      </c>
      <c r="C56" s="1">
        <v>4</v>
      </c>
      <c r="D56" s="1" t="s">
        <v>55</v>
      </c>
      <c r="E56" s="1" t="s">
        <v>422</v>
      </c>
      <c r="F56" s="1" t="str">
        <f>IF(COUNTIF(D:D,"="&amp;D56)=1,"Oui","Non")</f>
        <v>Non</v>
      </c>
      <c r="G56" s="3" t="s">
        <v>423</v>
      </c>
      <c r="H56" s="1" t="s">
        <v>424</v>
      </c>
      <c r="I56" s="1" t="s">
        <v>387</v>
      </c>
      <c r="J56" s="9" t="s">
        <v>387</v>
      </c>
      <c r="K56" s="3" t="s">
        <v>398</v>
      </c>
    </row>
    <row r="57" spans="1:11" hidden="1" x14ac:dyDescent="0.25">
      <c r="A57" s="1" t="s">
        <v>160</v>
      </c>
      <c r="B57" s="1" t="s">
        <v>41</v>
      </c>
      <c r="C57" s="1">
        <v>4</v>
      </c>
      <c r="D57" s="1" t="s">
        <v>56</v>
      </c>
      <c r="E57" s="1" t="s">
        <v>573</v>
      </c>
      <c r="F57" s="1" t="str">
        <f>IF(COUNTIF(D:D,"="&amp;D57)=1,"Oui","Non")</f>
        <v>Oui</v>
      </c>
      <c r="G57" s="3" t="s">
        <v>552</v>
      </c>
      <c r="H57" s="1" t="s">
        <v>396</v>
      </c>
      <c r="I57" s="1" t="s">
        <v>553</v>
      </c>
      <c r="J57" s="9" t="s">
        <v>475</v>
      </c>
      <c r="K57" s="3" t="s">
        <v>388</v>
      </c>
    </row>
    <row r="58" spans="1:11" hidden="1" x14ac:dyDescent="0.25">
      <c r="A58" s="1" t="s">
        <v>160</v>
      </c>
      <c r="B58" s="1" t="s">
        <v>41</v>
      </c>
      <c r="C58" s="1">
        <v>4</v>
      </c>
      <c r="D58" s="1" t="s">
        <v>57</v>
      </c>
      <c r="E58" s="1" t="s">
        <v>595</v>
      </c>
      <c r="F58" s="1" t="str">
        <f>IF(COUNTIF(D:D,"="&amp;D58)=1,"Oui","Non")</f>
        <v>Oui</v>
      </c>
      <c r="G58" s="3" t="s">
        <v>554</v>
      </c>
      <c r="H58" s="1" t="s">
        <v>454</v>
      </c>
      <c r="I58" s="1" t="s">
        <v>480</v>
      </c>
      <c r="J58" s="9" t="s">
        <v>488</v>
      </c>
      <c r="K58" s="3" t="s">
        <v>388</v>
      </c>
    </row>
    <row r="59" spans="1:11" hidden="1" x14ac:dyDescent="0.25">
      <c r="A59" s="1" t="s">
        <v>160</v>
      </c>
      <c r="B59" s="1" t="s">
        <v>41</v>
      </c>
      <c r="C59" s="1">
        <v>4</v>
      </c>
      <c r="D59" s="1" t="s">
        <v>58</v>
      </c>
      <c r="E59" s="1" t="s">
        <v>425</v>
      </c>
      <c r="F59" s="1" t="str">
        <f>IF(COUNTIF(D:D,"="&amp;D59)=1,"Oui","Non")</f>
        <v>Non</v>
      </c>
      <c r="G59" s="3" t="s">
        <v>426</v>
      </c>
      <c r="H59" s="1" t="s">
        <v>390</v>
      </c>
      <c r="I59" s="1" t="s">
        <v>387</v>
      </c>
      <c r="J59" s="9" t="s">
        <v>387</v>
      </c>
      <c r="K59" s="3" t="s">
        <v>411</v>
      </c>
    </row>
    <row r="60" spans="1:11" hidden="1" x14ac:dyDescent="0.25">
      <c r="A60" s="1" t="s">
        <v>160</v>
      </c>
      <c r="B60" s="1" t="s">
        <v>41</v>
      </c>
      <c r="C60" s="1">
        <v>5</v>
      </c>
      <c r="D60" s="1" t="s">
        <v>59</v>
      </c>
      <c r="E60" s="1" t="s">
        <v>311</v>
      </c>
      <c r="F60" s="1" t="str">
        <f>IF(COUNTIF(D:D,"="&amp;D60)=1,"Oui","Non")</f>
        <v>Oui</v>
      </c>
      <c r="G60" s="3" t="s">
        <v>555</v>
      </c>
      <c r="H60" s="1" t="s">
        <v>424</v>
      </c>
      <c r="I60" s="1" t="s">
        <v>441</v>
      </c>
      <c r="J60" s="9">
        <v>8</v>
      </c>
      <c r="K60" s="3" t="s">
        <v>388</v>
      </c>
    </row>
    <row r="61" spans="1:11" ht="30" hidden="1" x14ac:dyDescent="0.25">
      <c r="A61" s="1" t="s">
        <v>160</v>
      </c>
      <c r="B61" s="1" t="s">
        <v>41</v>
      </c>
      <c r="C61" s="1">
        <v>5</v>
      </c>
      <c r="D61" s="1" t="s">
        <v>60</v>
      </c>
      <c r="E61" s="1" t="s">
        <v>633</v>
      </c>
      <c r="F61" s="1" t="str">
        <f>IF(COUNTIF(D:D,"="&amp;D61)=1,"Oui","Non")</f>
        <v>Oui</v>
      </c>
      <c r="G61" s="3" t="s">
        <v>556</v>
      </c>
      <c r="H61" s="1" t="s">
        <v>557</v>
      </c>
      <c r="I61" s="1" t="s">
        <v>445</v>
      </c>
      <c r="J61" s="9">
        <v>8</v>
      </c>
      <c r="K61" s="3" t="s">
        <v>558</v>
      </c>
    </row>
    <row r="62" spans="1:11" hidden="1" x14ac:dyDescent="0.25">
      <c r="A62" s="1" t="s">
        <v>161</v>
      </c>
      <c r="B62" s="1" t="s">
        <v>61</v>
      </c>
      <c r="C62" s="1">
        <v>1</v>
      </c>
      <c r="D62" s="1" t="s">
        <v>62</v>
      </c>
      <c r="E62" s="1" t="s">
        <v>427</v>
      </c>
      <c r="F62" s="1" t="str">
        <f>IF(COUNTIF(D:D,"="&amp;D62)=1,"Oui","Non")</f>
        <v>Non</v>
      </c>
      <c r="G62" s="3" t="s">
        <v>428</v>
      </c>
      <c r="H62" s="1" t="s">
        <v>390</v>
      </c>
      <c r="I62" s="1" t="s">
        <v>387</v>
      </c>
      <c r="J62" s="9" t="s">
        <v>387</v>
      </c>
      <c r="K62" s="3" t="s">
        <v>411</v>
      </c>
    </row>
    <row r="63" spans="1:11" hidden="1" x14ac:dyDescent="0.25">
      <c r="A63" s="1" t="s">
        <v>161</v>
      </c>
      <c r="B63" s="1" t="s">
        <v>61</v>
      </c>
      <c r="C63" s="1">
        <v>1</v>
      </c>
      <c r="D63" s="1" t="s">
        <v>63</v>
      </c>
      <c r="E63" s="1" t="s">
        <v>592</v>
      </c>
      <c r="F63" s="1" t="str">
        <f>IF(COUNTIF(D:D,"="&amp;D63)=1,"Oui","Non")</f>
        <v>Oui</v>
      </c>
      <c r="G63" s="3" t="s">
        <v>561</v>
      </c>
      <c r="H63" s="1" t="s">
        <v>390</v>
      </c>
      <c r="I63" s="1" t="s">
        <v>441</v>
      </c>
      <c r="J63" s="9" t="s">
        <v>562</v>
      </c>
      <c r="K63" s="3" t="s">
        <v>398</v>
      </c>
    </row>
    <row r="64" spans="1:11" hidden="1" x14ac:dyDescent="0.25">
      <c r="A64" s="1" t="s">
        <v>161</v>
      </c>
      <c r="B64" s="1" t="s">
        <v>61</v>
      </c>
      <c r="C64" s="1">
        <v>1</v>
      </c>
      <c r="D64" s="1" t="s">
        <v>64</v>
      </c>
      <c r="E64" s="1" t="s">
        <v>395</v>
      </c>
      <c r="F64" s="1" t="str">
        <f>IF(COUNTIF(D:D,"="&amp;D64)=1,"Oui","Non")</f>
        <v>Oui</v>
      </c>
      <c r="G64" s="3" t="s">
        <v>563</v>
      </c>
      <c r="H64" s="1" t="s">
        <v>390</v>
      </c>
      <c r="I64" s="1" t="s">
        <v>524</v>
      </c>
      <c r="J64" s="9" t="s">
        <v>496</v>
      </c>
      <c r="K64" s="3" t="s">
        <v>398</v>
      </c>
    </row>
    <row r="65" spans="1:11" hidden="1" x14ac:dyDescent="0.25">
      <c r="A65" s="1" t="s">
        <v>161</v>
      </c>
      <c r="B65" s="1" t="s">
        <v>61</v>
      </c>
      <c r="C65" s="1">
        <v>1</v>
      </c>
      <c r="D65" s="1" t="s">
        <v>65</v>
      </c>
      <c r="E65" s="1" t="s">
        <v>427</v>
      </c>
      <c r="F65" s="1" t="str">
        <f>IF(COUNTIF(D:D,"="&amp;D65)=1,"Oui","Non")</f>
        <v>Oui</v>
      </c>
      <c r="G65" s="3" t="s">
        <v>564</v>
      </c>
      <c r="H65" s="1" t="s">
        <v>390</v>
      </c>
      <c r="I65" s="1" t="s">
        <v>565</v>
      </c>
      <c r="J65" s="9">
        <v>8</v>
      </c>
      <c r="K65" s="3" t="s">
        <v>388</v>
      </c>
    </row>
    <row r="66" spans="1:11" ht="30" hidden="1" x14ac:dyDescent="0.25">
      <c r="A66" s="1" t="s">
        <v>161</v>
      </c>
      <c r="B66" s="1" t="s">
        <v>61</v>
      </c>
      <c r="C66" s="1">
        <v>1</v>
      </c>
      <c r="D66" s="1" t="s">
        <v>566</v>
      </c>
      <c r="E66" s="1" t="s">
        <v>592</v>
      </c>
      <c r="F66" s="1" t="str">
        <f>IF(COUNTIF(D:D,"="&amp;D66)=1,"Oui","Non")</f>
        <v>Oui</v>
      </c>
      <c r="G66" s="3" t="s">
        <v>567</v>
      </c>
      <c r="H66" s="1" t="s">
        <v>396</v>
      </c>
      <c r="I66" s="1" t="s">
        <v>477</v>
      </c>
      <c r="J66" s="9">
        <v>7</v>
      </c>
      <c r="K66" s="3" t="s">
        <v>398</v>
      </c>
    </row>
    <row r="67" spans="1:11" ht="30" hidden="1" x14ac:dyDescent="0.25">
      <c r="A67" s="1" t="s">
        <v>161</v>
      </c>
      <c r="B67" s="1" t="s">
        <v>61</v>
      </c>
      <c r="C67" s="1">
        <v>2</v>
      </c>
      <c r="D67" s="1" t="s">
        <v>66</v>
      </c>
      <c r="E67" s="1" t="s">
        <v>592</v>
      </c>
      <c r="F67" s="1" t="str">
        <f>IF(COUNTIF(D:D,"="&amp;D67)=1,"Oui","Non")</f>
        <v>Oui</v>
      </c>
      <c r="G67" s="3" t="s">
        <v>568</v>
      </c>
      <c r="H67" s="1" t="s">
        <v>424</v>
      </c>
      <c r="I67" s="1" t="s">
        <v>387</v>
      </c>
      <c r="J67" s="9" t="s">
        <v>387</v>
      </c>
      <c r="K67" s="3" t="s">
        <v>569</v>
      </c>
    </row>
    <row r="68" spans="1:11" hidden="1" x14ac:dyDescent="0.25">
      <c r="A68" s="1" t="s">
        <v>161</v>
      </c>
      <c r="B68" s="1" t="s">
        <v>61</v>
      </c>
      <c r="C68" s="1">
        <v>2</v>
      </c>
      <c r="D68" s="1" t="s">
        <v>67</v>
      </c>
      <c r="E68" s="1" t="s">
        <v>427</v>
      </c>
      <c r="F68" s="1" t="str">
        <f>IF(COUNTIF(D:D,"="&amp;D68)=1,"Oui","Non")</f>
        <v>Non</v>
      </c>
      <c r="G68" s="3" t="s">
        <v>429</v>
      </c>
      <c r="H68" s="1" t="s">
        <v>390</v>
      </c>
      <c r="I68" s="1" t="s">
        <v>482</v>
      </c>
      <c r="J68" s="9">
        <v>5</v>
      </c>
      <c r="K68" s="3" t="s">
        <v>430</v>
      </c>
    </row>
    <row r="69" spans="1:11" ht="30" hidden="1" x14ac:dyDescent="0.25">
      <c r="A69" s="1" t="s">
        <v>161</v>
      </c>
      <c r="B69" s="1" t="s">
        <v>61</v>
      </c>
      <c r="C69" s="1">
        <v>2</v>
      </c>
      <c r="D69" s="1" t="s">
        <v>68</v>
      </c>
      <c r="E69" s="1" t="s">
        <v>573</v>
      </c>
      <c r="F69" s="1" t="str">
        <f>IF(COUNTIF(D:D,"="&amp;D69)=1,"Oui","Non")</f>
        <v>Non</v>
      </c>
      <c r="G69" s="3" t="s">
        <v>431</v>
      </c>
      <c r="H69" s="1" t="s">
        <v>390</v>
      </c>
      <c r="I69" s="1" t="s">
        <v>387</v>
      </c>
      <c r="J69" s="9" t="s">
        <v>387</v>
      </c>
      <c r="K69" s="3" t="s">
        <v>421</v>
      </c>
    </row>
    <row r="70" spans="1:11" ht="30" hidden="1" x14ac:dyDescent="0.25">
      <c r="A70" s="1" t="s">
        <v>161</v>
      </c>
      <c r="B70" s="1" t="s">
        <v>61</v>
      </c>
      <c r="C70" s="1">
        <v>2</v>
      </c>
      <c r="D70" s="1" t="s">
        <v>69</v>
      </c>
      <c r="E70" s="1" t="s">
        <v>592</v>
      </c>
      <c r="F70" s="1" t="str">
        <f>IF(COUNTIF(D:D,"="&amp;D70)=1,"Oui","Non")</f>
        <v>Oui</v>
      </c>
      <c r="G70" s="3" t="s">
        <v>570</v>
      </c>
      <c r="H70" s="1" t="s">
        <v>390</v>
      </c>
      <c r="I70" s="1" t="s">
        <v>571</v>
      </c>
      <c r="J70" s="11" t="s">
        <v>572</v>
      </c>
      <c r="K70" s="3" t="s">
        <v>411</v>
      </c>
    </row>
    <row r="71" spans="1:11" ht="30" hidden="1" x14ac:dyDescent="0.25">
      <c r="A71" s="1" t="s">
        <v>161</v>
      </c>
      <c r="B71" s="1" t="s">
        <v>61</v>
      </c>
      <c r="C71" s="1">
        <v>3</v>
      </c>
      <c r="D71" s="1" t="s">
        <v>70</v>
      </c>
      <c r="E71" s="1" t="s">
        <v>592</v>
      </c>
      <c r="F71" s="1" t="str">
        <f>IF(COUNTIF(D:D,"="&amp;D71)=1,"Oui","Non")</f>
        <v>Oui</v>
      </c>
      <c r="G71" s="3" t="s">
        <v>574</v>
      </c>
      <c r="H71" s="1" t="s">
        <v>390</v>
      </c>
      <c r="I71" s="1" t="s">
        <v>575</v>
      </c>
      <c r="J71" s="9" t="s">
        <v>575</v>
      </c>
      <c r="K71" s="3" t="s">
        <v>398</v>
      </c>
    </row>
    <row r="72" spans="1:11" ht="30" hidden="1" x14ac:dyDescent="0.25">
      <c r="A72" s="1" t="s">
        <v>161</v>
      </c>
      <c r="B72" s="1" t="s">
        <v>61</v>
      </c>
      <c r="C72" s="1">
        <v>3</v>
      </c>
      <c r="D72" s="1" t="s">
        <v>71</v>
      </c>
      <c r="E72" s="1" t="s">
        <v>576</v>
      </c>
      <c r="F72" s="1" t="str">
        <f>IF(COUNTIF(D:D,"="&amp;D72)=1,"Oui","Non")</f>
        <v>Oui</v>
      </c>
      <c r="G72" s="3" t="s">
        <v>577</v>
      </c>
      <c r="H72" s="1" t="s">
        <v>390</v>
      </c>
      <c r="I72" s="3" t="s">
        <v>578</v>
      </c>
      <c r="J72" s="9">
        <v>7</v>
      </c>
      <c r="K72" s="3" t="s">
        <v>579</v>
      </c>
    </row>
    <row r="73" spans="1:11" hidden="1" x14ac:dyDescent="0.25">
      <c r="A73" s="1" t="s">
        <v>161</v>
      </c>
      <c r="B73" s="1" t="s">
        <v>61</v>
      </c>
      <c r="C73" s="1">
        <v>3</v>
      </c>
      <c r="D73" s="1" t="s">
        <v>72</v>
      </c>
      <c r="E73" s="1" t="s">
        <v>296</v>
      </c>
      <c r="F73" s="1" t="str">
        <f>IF(COUNTIF(D:D,"="&amp;D73)=1,"Oui","Non")</f>
        <v>Oui</v>
      </c>
      <c r="G73" s="3" t="s">
        <v>580</v>
      </c>
      <c r="H73" s="1" t="s">
        <v>390</v>
      </c>
      <c r="I73" s="1" t="s">
        <v>538</v>
      </c>
      <c r="J73" s="9" t="s">
        <v>475</v>
      </c>
      <c r="K73" s="3" t="s">
        <v>581</v>
      </c>
    </row>
    <row r="74" spans="1:11" s="2" customFormat="1" ht="30" hidden="1" x14ac:dyDescent="0.25">
      <c r="A74" s="2" t="s">
        <v>161</v>
      </c>
      <c r="B74" s="2" t="s">
        <v>61</v>
      </c>
      <c r="C74" s="2">
        <v>3</v>
      </c>
      <c r="D74" s="2" t="s">
        <v>73</v>
      </c>
      <c r="E74" s="2" t="s">
        <v>576</v>
      </c>
      <c r="F74" s="2" t="str">
        <f>IF(COUNTIF(D:D,"="&amp;D74)=1,"Oui","Non")</f>
        <v>Oui</v>
      </c>
      <c r="G74" s="4" t="s">
        <v>582</v>
      </c>
      <c r="H74" s="2" t="s">
        <v>424</v>
      </c>
      <c r="I74" s="2" t="s">
        <v>387</v>
      </c>
      <c r="J74" s="10" t="s">
        <v>387</v>
      </c>
      <c r="K74" s="4" t="s">
        <v>422</v>
      </c>
    </row>
    <row r="75" spans="1:11" hidden="1" x14ac:dyDescent="0.25">
      <c r="A75" s="1" t="s">
        <v>161</v>
      </c>
      <c r="B75" s="1" t="s">
        <v>61</v>
      </c>
      <c r="C75" s="1">
        <v>3</v>
      </c>
      <c r="D75" s="1" t="s">
        <v>54</v>
      </c>
      <c r="E75" s="1" t="s">
        <v>402</v>
      </c>
      <c r="F75" s="1" t="str">
        <f>IF(COUNTIF(D:D,"="&amp;D75)=1,"Oui","Non")</f>
        <v>Non</v>
      </c>
      <c r="G75" s="3" t="s">
        <v>419</v>
      </c>
      <c r="H75" s="1" t="s">
        <v>390</v>
      </c>
      <c r="I75" s="1" t="s">
        <v>420</v>
      </c>
      <c r="J75" s="9">
        <v>6</v>
      </c>
      <c r="K75" s="3" t="s">
        <v>421</v>
      </c>
    </row>
    <row r="76" spans="1:11" ht="30" hidden="1" x14ac:dyDescent="0.25">
      <c r="A76" s="1" t="s">
        <v>161</v>
      </c>
      <c r="B76" s="1" t="s">
        <v>61</v>
      </c>
      <c r="C76" s="1">
        <v>4</v>
      </c>
      <c r="D76" s="1" t="s">
        <v>74</v>
      </c>
      <c r="E76" s="1" t="s">
        <v>595</v>
      </c>
      <c r="F76" s="1" t="str">
        <f>IF(COUNTIF(D:D,"="&amp;D76)=1,"Oui","Non")</f>
        <v>Oui</v>
      </c>
      <c r="G76" s="3" t="s">
        <v>583</v>
      </c>
      <c r="H76" s="1" t="s">
        <v>390</v>
      </c>
      <c r="I76" s="1" t="s">
        <v>387</v>
      </c>
      <c r="J76" s="9" t="s">
        <v>387</v>
      </c>
      <c r="K76" s="3" t="s">
        <v>584</v>
      </c>
    </row>
    <row r="77" spans="1:11" ht="30" hidden="1" x14ac:dyDescent="0.25">
      <c r="A77" s="1" t="s">
        <v>161</v>
      </c>
      <c r="B77" s="1" t="s">
        <v>61</v>
      </c>
      <c r="C77" s="1">
        <v>4</v>
      </c>
      <c r="D77" s="1" t="s">
        <v>75</v>
      </c>
      <c r="E77" s="1" t="s">
        <v>422</v>
      </c>
      <c r="F77" s="1" t="str">
        <f>IF(COUNTIF(D:D,"="&amp;D77)=1,"Oui","Non")</f>
        <v>Oui</v>
      </c>
      <c r="G77" s="3" t="s">
        <v>585</v>
      </c>
      <c r="H77" s="1" t="s">
        <v>424</v>
      </c>
      <c r="I77" s="1" t="s">
        <v>441</v>
      </c>
      <c r="J77" s="9" t="s">
        <v>488</v>
      </c>
      <c r="K77" s="3" t="s">
        <v>411</v>
      </c>
    </row>
    <row r="78" spans="1:11" ht="45" hidden="1" x14ac:dyDescent="0.25">
      <c r="A78" s="1" t="s">
        <v>161</v>
      </c>
      <c r="B78" s="1" t="s">
        <v>61</v>
      </c>
      <c r="C78" s="1">
        <v>4</v>
      </c>
      <c r="D78" s="1" t="s">
        <v>76</v>
      </c>
      <c r="E78" s="1" t="s">
        <v>592</v>
      </c>
      <c r="F78" s="1" t="str">
        <f>IF(COUNTIF(D:D,"="&amp;D78)=1,"Oui","Non")</f>
        <v>Oui</v>
      </c>
      <c r="G78" s="3" t="s">
        <v>586</v>
      </c>
      <c r="H78" s="1" t="s">
        <v>424</v>
      </c>
      <c r="I78" s="1" t="s">
        <v>587</v>
      </c>
      <c r="J78" s="11" t="s">
        <v>588</v>
      </c>
      <c r="K78" s="3" t="s">
        <v>398</v>
      </c>
    </row>
    <row r="79" spans="1:11" hidden="1" x14ac:dyDescent="0.25">
      <c r="A79" s="1" t="s">
        <v>161</v>
      </c>
      <c r="B79" s="1" t="s">
        <v>61</v>
      </c>
      <c r="C79" s="1">
        <v>5</v>
      </c>
      <c r="D79" s="1" t="s">
        <v>77</v>
      </c>
      <c r="E79" s="1" t="s">
        <v>402</v>
      </c>
      <c r="F79" s="1" t="str">
        <f>IF(COUNTIF(D:D,"="&amp;D79)=1,"Oui","Non")</f>
        <v>Non</v>
      </c>
      <c r="G79" s="3" t="s">
        <v>432</v>
      </c>
      <c r="H79" s="1" t="s">
        <v>424</v>
      </c>
      <c r="I79" s="1" t="s">
        <v>483</v>
      </c>
      <c r="J79" s="9">
        <v>6</v>
      </c>
      <c r="K79" s="3" t="s">
        <v>388</v>
      </c>
    </row>
    <row r="80" spans="1:11" ht="30" hidden="1" x14ac:dyDescent="0.25">
      <c r="A80" s="1" t="s">
        <v>161</v>
      </c>
      <c r="B80" s="1" t="s">
        <v>61</v>
      </c>
      <c r="C80" s="1">
        <v>5</v>
      </c>
      <c r="D80" s="1" t="s">
        <v>78</v>
      </c>
      <c r="E80" s="1" t="s">
        <v>592</v>
      </c>
      <c r="F80" s="1" t="str">
        <f>IF(COUNTIF(D:D,"="&amp;D80)=1,"Oui","Non")</f>
        <v>Oui</v>
      </c>
      <c r="G80" s="3" t="s">
        <v>589</v>
      </c>
      <c r="H80" s="1" t="s">
        <v>390</v>
      </c>
      <c r="I80" s="1" t="s">
        <v>571</v>
      </c>
      <c r="J80" s="9" t="s">
        <v>488</v>
      </c>
      <c r="K80" s="3" t="s">
        <v>590</v>
      </c>
    </row>
    <row r="81" spans="1:11" s="2" customFormat="1" ht="45" hidden="1" x14ac:dyDescent="0.25">
      <c r="A81" s="2" t="s">
        <v>161</v>
      </c>
      <c r="B81" s="2" t="s">
        <v>61</v>
      </c>
      <c r="C81" s="2">
        <v>6</v>
      </c>
      <c r="D81" s="2" t="s">
        <v>79</v>
      </c>
      <c r="E81" s="2" t="s">
        <v>592</v>
      </c>
      <c r="F81" s="2" t="str">
        <f>IF(COUNTIF(D:D,"="&amp;D81)=1,"Oui","Non")</f>
        <v>Oui</v>
      </c>
      <c r="G81" s="4" t="s">
        <v>591</v>
      </c>
      <c r="H81" s="2" t="s">
        <v>424</v>
      </c>
      <c r="I81" s="2" t="s">
        <v>387</v>
      </c>
      <c r="J81" s="10" t="s">
        <v>387</v>
      </c>
      <c r="K81" s="4" t="s">
        <v>411</v>
      </c>
    </row>
    <row r="82" spans="1:11" ht="45" hidden="1" x14ac:dyDescent="0.25">
      <c r="A82" s="1" t="s">
        <v>161</v>
      </c>
      <c r="B82" s="1" t="s">
        <v>80</v>
      </c>
      <c r="C82" s="1">
        <v>1</v>
      </c>
      <c r="D82" s="1" t="s">
        <v>81</v>
      </c>
      <c r="E82" s="1" t="s">
        <v>652</v>
      </c>
      <c r="F82" s="1" t="str">
        <f>IF(COUNTIF(D:D,"="&amp;D82)=1,"Oui","Non")</f>
        <v>Oui</v>
      </c>
      <c r="G82" s="3" t="s">
        <v>596</v>
      </c>
      <c r="H82" s="1" t="s">
        <v>424</v>
      </c>
      <c r="I82" s="1" t="s">
        <v>387</v>
      </c>
      <c r="J82" s="9" t="s">
        <v>387</v>
      </c>
      <c r="K82" s="3" t="s">
        <v>597</v>
      </c>
    </row>
    <row r="83" spans="1:11" hidden="1" x14ac:dyDescent="0.25">
      <c r="A83" s="1" t="s">
        <v>161</v>
      </c>
      <c r="B83" s="1" t="s">
        <v>80</v>
      </c>
      <c r="C83" s="1">
        <v>1</v>
      </c>
      <c r="D83" s="1" t="s">
        <v>85</v>
      </c>
      <c r="E83" s="1" t="s">
        <v>407</v>
      </c>
      <c r="F83" s="1" t="str">
        <f>IF(COUNTIF(D:D,"="&amp;D83)=1,"Oui","Non")</f>
        <v>Non</v>
      </c>
      <c r="G83" s="3" t="s">
        <v>433</v>
      </c>
      <c r="H83" s="1" t="s">
        <v>390</v>
      </c>
      <c r="I83" s="1" t="s">
        <v>387</v>
      </c>
      <c r="J83" s="9" t="s">
        <v>387</v>
      </c>
      <c r="K83" s="3" t="s">
        <v>411</v>
      </c>
    </row>
    <row r="84" spans="1:11" ht="30" hidden="1" x14ac:dyDescent="0.25">
      <c r="A84" s="1" t="s">
        <v>161</v>
      </c>
      <c r="B84" s="1" t="s">
        <v>80</v>
      </c>
      <c r="C84" s="1">
        <v>1</v>
      </c>
      <c r="D84" s="1" t="s">
        <v>86</v>
      </c>
      <c r="E84" s="1" t="s">
        <v>93</v>
      </c>
      <c r="F84" s="1" t="str">
        <f>IF(COUNTIF(D:D,"="&amp;D84)=1,"Oui","Non")</f>
        <v>Oui</v>
      </c>
      <c r="G84" s="3" t="s">
        <v>598</v>
      </c>
      <c r="H84" s="1" t="s">
        <v>424</v>
      </c>
      <c r="I84" s="1" t="s">
        <v>600</v>
      </c>
      <c r="J84" s="9">
        <v>8</v>
      </c>
      <c r="K84" s="3" t="s">
        <v>388</v>
      </c>
    </row>
    <row r="85" spans="1:11" ht="30" hidden="1" x14ac:dyDescent="0.25">
      <c r="A85" s="1" t="s">
        <v>161</v>
      </c>
      <c r="B85" s="1" t="s">
        <v>80</v>
      </c>
      <c r="C85" s="1">
        <v>1</v>
      </c>
      <c r="D85" s="1" t="s">
        <v>87</v>
      </c>
      <c r="E85" s="1" t="s">
        <v>412</v>
      </c>
      <c r="F85" s="1" t="str">
        <f>IF(COUNTIF(D:D,"="&amp;D85)=1,"Oui","Non")</f>
        <v>Non</v>
      </c>
      <c r="G85" s="3" t="s">
        <v>408</v>
      </c>
      <c r="H85" s="1" t="s">
        <v>390</v>
      </c>
      <c r="I85" s="1" t="s">
        <v>409</v>
      </c>
      <c r="J85" s="9" t="s">
        <v>475</v>
      </c>
      <c r="K85" s="3" t="s">
        <v>398</v>
      </c>
    </row>
    <row r="86" spans="1:11" hidden="1" x14ac:dyDescent="0.25">
      <c r="A86" s="1" t="s">
        <v>161</v>
      </c>
      <c r="B86" s="1" t="s">
        <v>80</v>
      </c>
      <c r="C86" s="1">
        <v>1</v>
      </c>
      <c r="D86" s="1" t="s">
        <v>88</v>
      </c>
      <c r="E86" s="1" t="s">
        <v>846</v>
      </c>
      <c r="F86" s="1" t="str">
        <f>IF(COUNTIF(D:D,"="&amp;D86)=1,"Oui","Non")</f>
        <v>Non</v>
      </c>
      <c r="G86" s="3" t="s">
        <v>434</v>
      </c>
      <c r="H86" s="1" t="s">
        <v>424</v>
      </c>
      <c r="I86" s="1" t="s">
        <v>484</v>
      </c>
      <c r="J86" s="9" t="s">
        <v>475</v>
      </c>
      <c r="K86" s="3" t="s">
        <v>398</v>
      </c>
    </row>
    <row r="87" spans="1:11" hidden="1" x14ac:dyDescent="0.25">
      <c r="A87" s="1" t="s">
        <v>161</v>
      </c>
      <c r="B87" s="1" t="s">
        <v>80</v>
      </c>
      <c r="C87" s="1">
        <v>2</v>
      </c>
      <c r="D87" s="1" t="s">
        <v>89</v>
      </c>
      <c r="E87" s="1" t="s">
        <v>93</v>
      </c>
      <c r="F87" s="1" t="str">
        <f>IF(COUNTIF(D:D,"="&amp;D87)=1,"Oui","Non")</f>
        <v>Oui</v>
      </c>
      <c r="G87" s="3" t="s">
        <v>601</v>
      </c>
      <c r="H87" s="1" t="s">
        <v>603</v>
      </c>
      <c r="I87" s="1" t="s">
        <v>602</v>
      </c>
      <c r="J87" s="9" t="s">
        <v>441</v>
      </c>
      <c r="K87" s="3" t="s">
        <v>411</v>
      </c>
    </row>
    <row r="88" spans="1:11" hidden="1" x14ac:dyDescent="0.25">
      <c r="A88" s="1" t="s">
        <v>161</v>
      </c>
      <c r="B88" s="1" t="s">
        <v>80</v>
      </c>
      <c r="C88" s="1">
        <v>2</v>
      </c>
      <c r="D88" s="1" t="s">
        <v>90</v>
      </c>
      <c r="E88" s="1" t="s">
        <v>93</v>
      </c>
      <c r="F88" s="1" t="str">
        <f>IF(COUNTIF(D:D,"="&amp;D88)=1,"Oui","Non")</f>
        <v>Oui</v>
      </c>
      <c r="G88" s="3" t="s">
        <v>604</v>
      </c>
      <c r="H88" s="1" t="s">
        <v>424</v>
      </c>
      <c r="I88" s="1" t="s">
        <v>600</v>
      </c>
      <c r="J88" s="9">
        <v>7</v>
      </c>
      <c r="K88" s="3" t="s">
        <v>388</v>
      </c>
    </row>
    <row r="89" spans="1:11" hidden="1" x14ac:dyDescent="0.25">
      <c r="A89" s="1" t="s">
        <v>161</v>
      </c>
      <c r="B89" s="1" t="s">
        <v>80</v>
      </c>
      <c r="C89" s="1">
        <v>2</v>
      </c>
      <c r="D89" s="1" t="s">
        <v>48</v>
      </c>
      <c r="E89" s="1" t="s">
        <v>93</v>
      </c>
      <c r="F89" s="1" t="str">
        <f>IF(COUNTIF(D:D,"="&amp;D89)=1,"Oui","Non")</f>
        <v>Non</v>
      </c>
      <c r="G89" s="3" t="s">
        <v>418</v>
      </c>
      <c r="H89" s="1" t="s">
        <v>396</v>
      </c>
      <c r="I89" s="1" t="s">
        <v>409</v>
      </c>
      <c r="J89" s="9">
        <v>8</v>
      </c>
      <c r="K89" s="3" t="s">
        <v>398</v>
      </c>
    </row>
    <row r="90" spans="1:11" hidden="1" x14ac:dyDescent="0.25">
      <c r="A90" s="1" t="s">
        <v>161</v>
      </c>
      <c r="B90" s="1" t="s">
        <v>80</v>
      </c>
      <c r="C90" s="1">
        <v>2</v>
      </c>
      <c r="D90" s="1" t="s">
        <v>91</v>
      </c>
      <c r="E90" s="1" t="s">
        <v>422</v>
      </c>
      <c r="F90" s="1" t="str">
        <f>IF(COUNTIF(D:D,"="&amp;D90)=1,"Oui","Non")</f>
        <v>Oui</v>
      </c>
      <c r="G90" s="3" t="s">
        <v>605</v>
      </c>
      <c r="H90" s="1" t="s">
        <v>390</v>
      </c>
      <c r="I90" s="1" t="s">
        <v>387</v>
      </c>
      <c r="J90" s="9" t="s">
        <v>387</v>
      </c>
      <c r="K90" s="3" t="s">
        <v>606</v>
      </c>
    </row>
    <row r="91" spans="1:11" hidden="1" x14ac:dyDescent="0.25">
      <c r="A91" s="1" t="s">
        <v>161</v>
      </c>
      <c r="B91" s="1" t="s">
        <v>80</v>
      </c>
      <c r="C91" s="1">
        <v>3</v>
      </c>
      <c r="D91" s="1" t="s">
        <v>92</v>
      </c>
      <c r="E91" s="1" t="s">
        <v>427</v>
      </c>
      <c r="F91" s="1" t="str">
        <f>IF(COUNTIF(D:D,"="&amp;D91)=1,"Oui","Non")</f>
        <v>Oui</v>
      </c>
      <c r="G91" s="3" t="s">
        <v>435</v>
      </c>
      <c r="H91" s="1" t="s">
        <v>424</v>
      </c>
      <c r="I91" s="1" t="s">
        <v>387</v>
      </c>
      <c r="J91" s="9" t="s">
        <v>387</v>
      </c>
      <c r="K91" s="3" t="s">
        <v>388</v>
      </c>
    </row>
    <row r="92" spans="1:11" ht="30" hidden="1" x14ac:dyDescent="0.25">
      <c r="A92" s="1" t="s">
        <v>161</v>
      </c>
      <c r="B92" s="1" t="s">
        <v>80</v>
      </c>
      <c r="C92" s="1">
        <v>3</v>
      </c>
      <c r="D92" s="1" t="s">
        <v>93</v>
      </c>
      <c r="E92" s="1" t="s">
        <v>93</v>
      </c>
      <c r="F92" s="1" t="str">
        <f>IF(COUNTIF(D:D,"="&amp;D92)=1,"Oui","Non")</f>
        <v>Oui</v>
      </c>
      <c r="G92" s="3" t="s">
        <v>607</v>
      </c>
      <c r="H92" s="1" t="s">
        <v>390</v>
      </c>
      <c r="I92" s="1" t="s">
        <v>538</v>
      </c>
      <c r="J92" s="9" t="s">
        <v>488</v>
      </c>
      <c r="K92" s="3" t="s">
        <v>398</v>
      </c>
    </row>
    <row r="93" spans="1:11" ht="30" hidden="1" x14ac:dyDescent="0.25">
      <c r="A93" s="1" t="s">
        <v>161</v>
      </c>
      <c r="B93" s="1" t="s">
        <v>80</v>
      </c>
      <c r="C93" s="1">
        <v>3</v>
      </c>
      <c r="D93" s="1" t="s">
        <v>94</v>
      </c>
      <c r="E93" s="1" t="s">
        <v>652</v>
      </c>
      <c r="F93" s="1" t="str">
        <f>IF(COUNTIF(D:D,"="&amp;D93)=1,"Oui","Non")</f>
        <v>Oui</v>
      </c>
      <c r="G93" s="3" t="s">
        <v>608</v>
      </c>
      <c r="H93" s="1" t="s">
        <v>424</v>
      </c>
      <c r="I93" s="1" t="s">
        <v>609</v>
      </c>
      <c r="J93" s="9">
        <v>7</v>
      </c>
      <c r="K93" s="3" t="s">
        <v>411</v>
      </c>
    </row>
    <row r="94" spans="1:11" hidden="1" x14ac:dyDescent="0.25">
      <c r="A94" s="1" t="s">
        <v>161</v>
      </c>
      <c r="B94" s="1" t="s">
        <v>80</v>
      </c>
      <c r="C94" s="1">
        <v>3</v>
      </c>
      <c r="D94" s="1" t="s">
        <v>95</v>
      </c>
      <c r="E94" s="1" t="s">
        <v>407</v>
      </c>
      <c r="F94" s="1" t="str">
        <f>IF(COUNTIF(D:D,"="&amp;D94)=1,"Oui","Non")</f>
        <v>Oui</v>
      </c>
      <c r="G94" s="3" t="s">
        <v>610</v>
      </c>
      <c r="H94" s="1" t="s">
        <v>390</v>
      </c>
      <c r="I94" s="1" t="s">
        <v>441</v>
      </c>
      <c r="J94" s="9" t="s">
        <v>562</v>
      </c>
      <c r="K94" s="3" t="s">
        <v>388</v>
      </c>
    </row>
    <row r="95" spans="1:11" ht="30" hidden="1" x14ac:dyDescent="0.25">
      <c r="A95" s="1" t="s">
        <v>161</v>
      </c>
      <c r="B95" s="1" t="s">
        <v>80</v>
      </c>
      <c r="C95" s="1">
        <v>4</v>
      </c>
      <c r="D95" s="1" t="s">
        <v>96</v>
      </c>
      <c r="E95" s="1" t="s">
        <v>93</v>
      </c>
      <c r="F95" s="1" t="str">
        <f>IF(COUNTIF(D:D,"="&amp;D95)=1,"Oui","Non")</f>
        <v>Oui</v>
      </c>
      <c r="G95" s="3" t="s">
        <v>611</v>
      </c>
      <c r="H95" s="1" t="s">
        <v>390</v>
      </c>
      <c r="I95" s="1" t="s">
        <v>441</v>
      </c>
      <c r="J95" s="9" t="s">
        <v>387</v>
      </c>
      <c r="K95" s="3" t="s">
        <v>398</v>
      </c>
    </row>
    <row r="96" spans="1:11" hidden="1" x14ac:dyDescent="0.25">
      <c r="A96" s="1" t="s">
        <v>161</v>
      </c>
      <c r="B96" s="1" t="s">
        <v>80</v>
      </c>
      <c r="C96" s="1">
        <v>4</v>
      </c>
      <c r="D96" s="1" t="s">
        <v>405</v>
      </c>
      <c r="E96" s="1" t="s">
        <v>93</v>
      </c>
      <c r="F96" s="1" t="str">
        <f>IF(COUNTIF(D:D,"="&amp;D96)=1,"Oui","Non")</f>
        <v>Non</v>
      </c>
      <c r="G96" s="3" t="s">
        <v>406</v>
      </c>
      <c r="H96" s="1" t="s">
        <v>424</v>
      </c>
      <c r="I96" s="1" t="s">
        <v>481</v>
      </c>
      <c r="J96" s="9">
        <v>7</v>
      </c>
      <c r="K96" s="3" t="s">
        <v>388</v>
      </c>
    </row>
    <row r="97" spans="1:11" ht="30" hidden="1" x14ac:dyDescent="0.25">
      <c r="A97" s="1" t="s">
        <v>161</v>
      </c>
      <c r="B97" s="1" t="s">
        <v>80</v>
      </c>
      <c r="C97" s="1">
        <v>4</v>
      </c>
      <c r="D97" s="1" t="s">
        <v>97</v>
      </c>
      <c r="E97" s="1" t="s">
        <v>652</v>
      </c>
      <c r="F97" s="1" t="str">
        <f>IF(COUNTIF(D:D,"="&amp;D97)=1,"Oui","Non")</f>
        <v>Oui</v>
      </c>
      <c r="G97" s="3" t="s">
        <v>612</v>
      </c>
      <c r="H97" s="3" t="s">
        <v>613</v>
      </c>
      <c r="I97" s="1" t="s">
        <v>441</v>
      </c>
      <c r="J97" s="9" t="s">
        <v>562</v>
      </c>
      <c r="K97" s="3" t="s">
        <v>398</v>
      </c>
    </row>
    <row r="98" spans="1:11" hidden="1" x14ac:dyDescent="0.25">
      <c r="A98" s="1" t="s">
        <v>161</v>
      </c>
      <c r="B98" s="1" t="s">
        <v>80</v>
      </c>
      <c r="C98" s="1">
        <v>4</v>
      </c>
      <c r="D98" s="1" t="s">
        <v>98</v>
      </c>
      <c r="E98" s="1" t="s">
        <v>652</v>
      </c>
      <c r="F98" s="1" t="str">
        <f>IF(COUNTIF(D:D,"="&amp;D98)=1,"Oui","Non")</f>
        <v>Oui</v>
      </c>
      <c r="G98" s="3" t="s">
        <v>614</v>
      </c>
      <c r="H98" s="1" t="s">
        <v>424</v>
      </c>
      <c r="I98" s="1" t="s">
        <v>387</v>
      </c>
      <c r="J98" s="9" t="s">
        <v>387</v>
      </c>
      <c r="K98" s="3" t="s">
        <v>388</v>
      </c>
    </row>
    <row r="99" spans="1:11" hidden="1" x14ac:dyDescent="0.25">
      <c r="A99" s="1" t="s">
        <v>161</v>
      </c>
      <c r="B99" s="1" t="s">
        <v>80</v>
      </c>
      <c r="C99" s="1">
        <v>5</v>
      </c>
      <c r="D99" s="1" t="s">
        <v>99</v>
      </c>
      <c r="E99" s="1" t="s">
        <v>407</v>
      </c>
      <c r="F99" s="1" t="str">
        <f>IF(COUNTIF(D:D,"="&amp;D99)=1,"Oui","Non")</f>
        <v>Oui</v>
      </c>
      <c r="G99" s="3" t="s">
        <v>615</v>
      </c>
      <c r="H99" s="1" t="s">
        <v>390</v>
      </c>
      <c r="I99" s="1" t="s">
        <v>441</v>
      </c>
      <c r="J99" s="9" t="s">
        <v>525</v>
      </c>
      <c r="K99" s="3" t="s">
        <v>398</v>
      </c>
    </row>
    <row r="100" spans="1:11" ht="30" hidden="1" x14ac:dyDescent="0.25">
      <c r="A100" s="1" t="s">
        <v>161</v>
      </c>
      <c r="B100" s="1" t="s">
        <v>80</v>
      </c>
      <c r="C100" s="1">
        <v>5</v>
      </c>
      <c r="D100" s="1" t="s">
        <v>100</v>
      </c>
      <c r="E100" s="1" t="s">
        <v>422</v>
      </c>
      <c r="F100" s="1" t="str">
        <f>IF(COUNTIF(D:D,"="&amp;D100)=1,"Oui","Non")</f>
        <v>Oui</v>
      </c>
      <c r="G100" s="3" t="s">
        <v>616</v>
      </c>
      <c r="H100" s="3" t="s">
        <v>617</v>
      </c>
      <c r="I100" s="1" t="s">
        <v>618</v>
      </c>
      <c r="J100" s="9" t="s">
        <v>619</v>
      </c>
      <c r="K100" s="3" t="s">
        <v>411</v>
      </c>
    </row>
    <row r="101" spans="1:11" ht="30" hidden="1" x14ac:dyDescent="0.25">
      <c r="A101" s="1" t="s">
        <v>161</v>
      </c>
      <c r="B101" s="1" t="s">
        <v>80</v>
      </c>
      <c r="C101" s="1">
        <v>5</v>
      </c>
      <c r="D101" s="1" t="s">
        <v>101</v>
      </c>
      <c r="E101" s="1" t="s">
        <v>298</v>
      </c>
      <c r="F101" s="1" t="str">
        <f>IF(COUNTIF(D:D,"="&amp;D101)=1,"Oui","Non")</f>
        <v>Oui</v>
      </c>
      <c r="G101" s="3" t="s">
        <v>620</v>
      </c>
      <c r="H101" s="1" t="s">
        <v>390</v>
      </c>
      <c r="I101" s="1" t="s">
        <v>621</v>
      </c>
      <c r="J101" s="9" t="s">
        <v>622</v>
      </c>
      <c r="K101" s="3" t="s">
        <v>398</v>
      </c>
    </row>
    <row r="102" spans="1:11" s="2" customFormat="1" hidden="1" x14ac:dyDescent="0.25">
      <c r="A102" s="2" t="s">
        <v>161</v>
      </c>
      <c r="B102" s="2" t="s">
        <v>80</v>
      </c>
      <c r="C102" s="2">
        <v>6</v>
      </c>
      <c r="D102" s="2" t="s">
        <v>102</v>
      </c>
      <c r="E102" s="2" t="s">
        <v>407</v>
      </c>
      <c r="F102" s="2" t="str">
        <f>IF(COUNTIF(D:D,"="&amp;D102)=1,"Oui","Non")</f>
        <v>Oui</v>
      </c>
      <c r="G102" s="4" t="s">
        <v>623</v>
      </c>
      <c r="H102" s="2" t="s">
        <v>599</v>
      </c>
      <c r="I102" s="2" t="s">
        <v>624</v>
      </c>
      <c r="J102" s="10" t="s">
        <v>562</v>
      </c>
      <c r="K102" s="4" t="s">
        <v>411</v>
      </c>
    </row>
    <row r="103" spans="1:11" ht="30" hidden="1" x14ac:dyDescent="0.25">
      <c r="A103" s="1" t="s">
        <v>161</v>
      </c>
      <c r="B103" s="1" t="s">
        <v>103</v>
      </c>
      <c r="C103" s="1">
        <v>1</v>
      </c>
      <c r="D103" s="1" t="s">
        <v>104</v>
      </c>
      <c r="E103" s="1" t="s">
        <v>678</v>
      </c>
      <c r="F103" s="1" t="str">
        <f>IF(COUNTIF(D:D,"="&amp;D103)=1,"Oui","Non")</f>
        <v>Oui</v>
      </c>
      <c r="G103" s="3" t="s">
        <v>679</v>
      </c>
      <c r="H103" s="1" t="s">
        <v>396</v>
      </c>
      <c r="I103" s="1" t="s">
        <v>387</v>
      </c>
      <c r="J103" s="9" t="s">
        <v>387</v>
      </c>
      <c r="K103" s="3" t="s">
        <v>680</v>
      </c>
    </row>
    <row r="104" spans="1:11" ht="30" hidden="1" x14ac:dyDescent="0.25">
      <c r="A104" s="1" t="s">
        <v>161</v>
      </c>
      <c r="B104" s="1" t="s">
        <v>103</v>
      </c>
      <c r="C104" s="1">
        <v>1</v>
      </c>
      <c r="D104" s="1" t="s">
        <v>105</v>
      </c>
      <c r="E104" s="1" t="s">
        <v>412</v>
      </c>
      <c r="F104" s="1" t="str">
        <f>IF(COUNTIF(D:D,"="&amp;D104)=1,"Oui","Non")</f>
        <v>Oui</v>
      </c>
      <c r="G104" s="3" t="s">
        <v>681</v>
      </c>
      <c r="H104" s="1" t="s">
        <v>390</v>
      </c>
      <c r="I104" s="1" t="s">
        <v>387</v>
      </c>
      <c r="J104" s="9" t="s">
        <v>387</v>
      </c>
      <c r="K104" s="3" t="s">
        <v>411</v>
      </c>
    </row>
    <row r="105" spans="1:11" hidden="1" x14ac:dyDescent="0.25">
      <c r="A105" s="1" t="s">
        <v>161</v>
      </c>
      <c r="B105" s="1" t="s">
        <v>103</v>
      </c>
      <c r="C105" s="1">
        <v>1</v>
      </c>
      <c r="D105" s="1" t="s">
        <v>7</v>
      </c>
      <c r="E105" s="1" t="s">
        <v>687</v>
      </c>
      <c r="F105" s="1" t="str">
        <f>IF(COUNTIF(D:D,"="&amp;D105)=1,"Oui","Non")</f>
        <v>Non</v>
      </c>
      <c r="G105" s="3" t="s">
        <v>391</v>
      </c>
      <c r="H105" s="1" t="s">
        <v>390</v>
      </c>
      <c r="I105" s="1" t="s">
        <v>477</v>
      </c>
      <c r="J105" s="9">
        <v>7</v>
      </c>
      <c r="K105" s="3" t="s">
        <v>388</v>
      </c>
    </row>
    <row r="106" spans="1:11" hidden="1" x14ac:dyDescent="0.25">
      <c r="A106" s="1" t="s">
        <v>161</v>
      </c>
      <c r="B106" s="1" t="s">
        <v>103</v>
      </c>
      <c r="C106" s="1">
        <v>1</v>
      </c>
      <c r="D106" s="1" t="s">
        <v>106</v>
      </c>
      <c r="E106" s="1" t="s">
        <v>389</v>
      </c>
      <c r="F106" s="1" t="str">
        <f>IF(COUNTIF(D:D,"="&amp;D106)=1,"Oui","Non")</f>
        <v>Non</v>
      </c>
      <c r="G106" s="3" t="s">
        <v>436</v>
      </c>
      <c r="H106" s="1" t="s">
        <v>396</v>
      </c>
      <c r="I106" s="1" t="s">
        <v>387</v>
      </c>
      <c r="J106" s="9" t="s">
        <v>387</v>
      </c>
      <c r="K106" s="3" t="s">
        <v>388</v>
      </c>
    </row>
    <row r="107" spans="1:11" ht="30" hidden="1" x14ac:dyDescent="0.25">
      <c r="A107" s="1" t="s">
        <v>161</v>
      </c>
      <c r="B107" s="1" t="s">
        <v>103</v>
      </c>
      <c r="C107" s="1">
        <v>1</v>
      </c>
      <c r="D107" s="1" t="s">
        <v>107</v>
      </c>
      <c r="E107" s="1" t="s">
        <v>678</v>
      </c>
      <c r="F107" s="1" t="str">
        <f>IF(COUNTIF(D:D,"="&amp;D107)=1,"Oui","Non")</f>
        <v>Oui</v>
      </c>
      <c r="G107" s="3" t="s">
        <v>682</v>
      </c>
      <c r="H107" s="1" t="s">
        <v>390</v>
      </c>
      <c r="I107" s="1" t="s">
        <v>484</v>
      </c>
      <c r="J107" s="9" t="s">
        <v>683</v>
      </c>
      <c r="K107" s="3" t="s">
        <v>398</v>
      </c>
    </row>
    <row r="108" spans="1:11" ht="30" hidden="1" x14ac:dyDescent="0.25">
      <c r="A108" s="1" t="s">
        <v>161</v>
      </c>
      <c r="B108" s="1" t="s">
        <v>103</v>
      </c>
      <c r="C108" s="1">
        <v>2</v>
      </c>
      <c r="D108" s="1" t="s">
        <v>108</v>
      </c>
      <c r="E108" s="1" t="s">
        <v>687</v>
      </c>
      <c r="F108" s="1" t="str">
        <f>IF(COUNTIF(D:D,"="&amp;D108)=1,"Oui","Non")</f>
        <v>Oui</v>
      </c>
      <c r="G108" s="3" t="s">
        <v>684</v>
      </c>
      <c r="H108" s="1" t="s">
        <v>390</v>
      </c>
      <c r="I108" s="1" t="s">
        <v>602</v>
      </c>
      <c r="J108" s="9" t="s">
        <v>488</v>
      </c>
      <c r="K108" s="3" t="s">
        <v>398</v>
      </c>
    </row>
    <row r="109" spans="1:11" hidden="1" x14ac:dyDescent="0.25">
      <c r="A109" s="1" t="s">
        <v>161</v>
      </c>
      <c r="B109" s="1" t="s">
        <v>103</v>
      </c>
      <c r="C109" s="1">
        <v>2</v>
      </c>
      <c r="D109" s="1" t="s">
        <v>109</v>
      </c>
      <c r="E109" s="1" t="s">
        <v>687</v>
      </c>
      <c r="F109" s="1" t="str">
        <f>IF(COUNTIF(D:D,"="&amp;D109)=1,"Oui","Non")</f>
        <v>Non</v>
      </c>
      <c r="G109" s="3" t="s">
        <v>437</v>
      </c>
      <c r="H109" s="1" t="s">
        <v>396</v>
      </c>
      <c r="I109" s="1" t="s">
        <v>517</v>
      </c>
      <c r="J109" s="9">
        <v>6</v>
      </c>
      <c r="K109" s="3" t="s">
        <v>438</v>
      </c>
    </row>
    <row r="110" spans="1:11" hidden="1" x14ac:dyDescent="0.25">
      <c r="A110" s="1" t="s">
        <v>161</v>
      </c>
      <c r="B110" s="1" t="s">
        <v>103</v>
      </c>
      <c r="C110" s="1">
        <v>2</v>
      </c>
      <c r="D110" s="1" t="s">
        <v>110</v>
      </c>
      <c r="E110" s="1" t="s">
        <v>488</v>
      </c>
      <c r="F110" s="1" t="str">
        <f>IF(COUNTIF(D:D,"="&amp;D110)=1,"Oui","Non")</f>
        <v>Oui</v>
      </c>
      <c r="G110" s="3" t="s">
        <v>685</v>
      </c>
      <c r="H110" s="1" t="s">
        <v>390</v>
      </c>
      <c r="I110" s="1" t="s">
        <v>686</v>
      </c>
      <c r="J110" s="9">
        <v>7</v>
      </c>
      <c r="K110" s="3" t="s">
        <v>398</v>
      </c>
    </row>
    <row r="111" spans="1:11" ht="30" hidden="1" x14ac:dyDescent="0.25">
      <c r="A111" s="1" t="s">
        <v>161</v>
      </c>
      <c r="B111" s="1" t="s">
        <v>103</v>
      </c>
      <c r="C111" s="1">
        <v>2</v>
      </c>
      <c r="D111" s="1" t="s">
        <v>111</v>
      </c>
      <c r="E111" s="1" t="s">
        <v>687</v>
      </c>
      <c r="F111" s="1" t="str">
        <f>IF(COUNTIF(D:D,"="&amp;D111)=1,"Oui","Non")</f>
        <v>Oui</v>
      </c>
      <c r="G111" s="3" t="s">
        <v>688</v>
      </c>
      <c r="H111" s="1" t="s">
        <v>390</v>
      </c>
      <c r="I111" s="1" t="s">
        <v>689</v>
      </c>
      <c r="J111" s="9">
        <v>7</v>
      </c>
      <c r="K111" s="3" t="s">
        <v>398</v>
      </c>
    </row>
    <row r="112" spans="1:11" ht="45" hidden="1" x14ac:dyDescent="0.25">
      <c r="A112" s="1" t="s">
        <v>161</v>
      </c>
      <c r="B112" s="1" t="s">
        <v>103</v>
      </c>
      <c r="C112" s="1">
        <v>3</v>
      </c>
      <c r="D112" s="1" t="s">
        <v>112</v>
      </c>
      <c r="E112" s="1" t="s">
        <v>678</v>
      </c>
      <c r="F112" s="1" t="str">
        <f>IF(COUNTIF(D:D,"="&amp;D112)=1,"Oui","Non")</f>
        <v>Oui</v>
      </c>
      <c r="G112" s="3" t="s">
        <v>690</v>
      </c>
      <c r="H112" s="1" t="s">
        <v>424</v>
      </c>
      <c r="I112" s="1" t="s">
        <v>387</v>
      </c>
      <c r="J112" s="9" t="s">
        <v>387</v>
      </c>
      <c r="K112" s="3" t="s">
        <v>691</v>
      </c>
    </row>
    <row r="113" spans="1:11" ht="30" hidden="1" x14ac:dyDescent="0.25">
      <c r="A113" s="1" t="s">
        <v>161</v>
      </c>
      <c r="B113" s="1" t="s">
        <v>103</v>
      </c>
      <c r="C113" s="1">
        <v>3</v>
      </c>
      <c r="D113" s="1" t="s">
        <v>113</v>
      </c>
      <c r="E113" s="1" t="s">
        <v>422</v>
      </c>
      <c r="F113" s="1" t="str">
        <f>IF(COUNTIF(D:D,"="&amp;D113)=1,"Oui","Non")</f>
        <v>Oui</v>
      </c>
      <c r="G113" s="3" t="s">
        <v>692</v>
      </c>
      <c r="H113" s="1" t="s">
        <v>390</v>
      </c>
      <c r="I113" s="1" t="s">
        <v>693</v>
      </c>
      <c r="J113" s="9">
        <v>8</v>
      </c>
      <c r="K113" s="3" t="s">
        <v>388</v>
      </c>
    </row>
    <row r="114" spans="1:11" ht="30" hidden="1" x14ac:dyDescent="0.25">
      <c r="A114" s="1" t="s">
        <v>161</v>
      </c>
      <c r="B114" s="1" t="s">
        <v>103</v>
      </c>
      <c r="C114" s="1">
        <v>3</v>
      </c>
      <c r="D114" s="1" t="s">
        <v>114</v>
      </c>
      <c r="E114" s="1" t="s">
        <v>439</v>
      </c>
      <c r="F114" s="1" t="str">
        <f>IF(COUNTIF(D:D,"="&amp;D114)=1,"Oui","Non")</f>
        <v>Non</v>
      </c>
      <c r="G114" s="3" t="s">
        <v>440</v>
      </c>
      <c r="H114" s="1" t="s">
        <v>390</v>
      </c>
      <c r="I114" s="1" t="s">
        <v>441</v>
      </c>
      <c r="J114" s="9">
        <v>6</v>
      </c>
      <c r="K114" s="3" t="s">
        <v>442</v>
      </c>
    </row>
    <row r="115" spans="1:11" ht="30" hidden="1" x14ac:dyDescent="0.25">
      <c r="A115" s="1" t="s">
        <v>161</v>
      </c>
      <c r="B115" s="1" t="s">
        <v>103</v>
      </c>
      <c r="C115" s="1">
        <v>3</v>
      </c>
      <c r="D115" s="1" t="s">
        <v>115</v>
      </c>
      <c r="E115" s="1" t="s">
        <v>412</v>
      </c>
      <c r="F115" s="1" t="str">
        <f>IF(COUNTIF(D:D,"="&amp;D115)=1,"Oui","Non")</f>
        <v>Non</v>
      </c>
      <c r="G115" s="3" t="s">
        <v>443</v>
      </c>
      <c r="H115" s="1" t="s">
        <v>424</v>
      </c>
      <c r="I115" s="1" t="s">
        <v>485</v>
      </c>
      <c r="J115" s="9">
        <v>8</v>
      </c>
      <c r="K115" s="3" t="s">
        <v>398</v>
      </c>
    </row>
    <row r="116" spans="1:11" ht="30" hidden="1" x14ac:dyDescent="0.25">
      <c r="A116" s="1" t="s">
        <v>161</v>
      </c>
      <c r="B116" s="1" t="s">
        <v>103</v>
      </c>
      <c r="C116" s="1">
        <v>3</v>
      </c>
      <c r="D116" s="1" t="s">
        <v>32</v>
      </c>
      <c r="E116" s="1" t="s">
        <v>422</v>
      </c>
      <c r="F116" s="1" t="str">
        <f>IF(COUNTIF(D:D,"="&amp;D116)=1,"Oui","Non")</f>
        <v>Non</v>
      </c>
      <c r="G116" s="3" t="s">
        <v>528</v>
      </c>
      <c r="H116" s="1" t="s">
        <v>396</v>
      </c>
      <c r="I116" s="1" t="s">
        <v>510</v>
      </c>
      <c r="J116" s="9">
        <v>8</v>
      </c>
      <c r="K116" s="3" t="s">
        <v>388</v>
      </c>
    </row>
    <row r="117" spans="1:11" ht="45" hidden="1" x14ac:dyDescent="0.25">
      <c r="A117" s="1" t="s">
        <v>161</v>
      </c>
      <c r="B117" s="1" t="s">
        <v>103</v>
      </c>
      <c r="C117" s="1">
        <v>4</v>
      </c>
      <c r="D117" s="1" t="s">
        <v>116</v>
      </c>
      <c r="E117" s="1" t="s">
        <v>687</v>
      </c>
      <c r="F117" s="1" t="str">
        <f>IF(COUNTIF(D:D,"="&amp;D117)=1,"Oui","Non")</f>
        <v>Oui</v>
      </c>
      <c r="G117" s="3" t="s">
        <v>695</v>
      </c>
      <c r="H117" s="1" t="s">
        <v>390</v>
      </c>
      <c r="I117" s="1" t="s">
        <v>488</v>
      </c>
      <c r="J117" s="9">
        <v>6</v>
      </c>
      <c r="K117" s="3" t="s">
        <v>694</v>
      </c>
    </row>
    <row r="118" spans="1:11" ht="30" hidden="1" x14ac:dyDescent="0.25">
      <c r="A118" s="1" t="s">
        <v>161</v>
      </c>
      <c r="B118" s="1" t="s">
        <v>103</v>
      </c>
      <c r="C118" s="1">
        <v>4</v>
      </c>
      <c r="D118" s="1" t="s">
        <v>117</v>
      </c>
      <c r="E118" s="1" t="s">
        <v>678</v>
      </c>
      <c r="F118" s="1" t="str">
        <f>IF(COUNTIF(D:D,"="&amp;D118)=1,"Oui","Non")</f>
        <v>Oui</v>
      </c>
      <c r="G118" s="3" t="s">
        <v>696</v>
      </c>
      <c r="H118" s="1" t="s">
        <v>390</v>
      </c>
      <c r="I118" s="1" t="s">
        <v>480</v>
      </c>
      <c r="J118" s="9">
        <v>7</v>
      </c>
      <c r="K118" s="3" t="s">
        <v>398</v>
      </c>
    </row>
    <row r="119" spans="1:11" hidden="1" x14ac:dyDescent="0.25">
      <c r="A119" s="1" t="s">
        <v>161</v>
      </c>
      <c r="B119" s="1" t="s">
        <v>103</v>
      </c>
      <c r="C119" s="1">
        <v>4</v>
      </c>
      <c r="D119" s="1" t="s">
        <v>118</v>
      </c>
      <c r="E119" s="1" t="s">
        <v>412</v>
      </c>
      <c r="F119" s="1" t="str">
        <f>IF(COUNTIF(D:D,"="&amp;D119)=1,"Oui","Non")</f>
        <v>Oui</v>
      </c>
      <c r="G119" s="3" t="s">
        <v>697</v>
      </c>
      <c r="H119" s="1" t="s">
        <v>390</v>
      </c>
      <c r="I119" s="1" t="s">
        <v>485</v>
      </c>
      <c r="J119" s="9">
        <v>8</v>
      </c>
    </row>
    <row r="120" spans="1:11" ht="30" hidden="1" x14ac:dyDescent="0.25">
      <c r="A120" s="1" t="s">
        <v>161</v>
      </c>
      <c r="B120" s="1" t="s">
        <v>103</v>
      </c>
      <c r="C120" s="1">
        <v>5</v>
      </c>
      <c r="D120" s="1" t="s">
        <v>119</v>
      </c>
      <c r="E120" s="1" t="s">
        <v>311</v>
      </c>
      <c r="F120" s="1" t="str">
        <f>IF(COUNTIF(D:D,"="&amp;D120)=1,"Oui","Non")</f>
        <v>Oui</v>
      </c>
      <c r="G120" s="3" t="s">
        <v>698</v>
      </c>
      <c r="H120" s="1" t="s">
        <v>424</v>
      </c>
      <c r="I120" s="1" t="s">
        <v>387</v>
      </c>
      <c r="J120" s="9" t="s">
        <v>387</v>
      </c>
      <c r="K120" s="3" t="s">
        <v>388</v>
      </c>
    </row>
    <row r="121" spans="1:11" ht="30" hidden="1" x14ac:dyDescent="0.25">
      <c r="A121" s="1" t="s">
        <v>161</v>
      </c>
      <c r="B121" s="1" t="s">
        <v>103</v>
      </c>
      <c r="C121" s="1">
        <v>6</v>
      </c>
      <c r="D121" s="1" t="s">
        <v>120</v>
      </c>
      <c r="E121" s="1" t="s">
        <v>594</v>
      </c>
      <c r="F121" s="1" t="str">
        <f>IF(COUNTIF(D:D,"="&amp;D121)=1,"Oui","Non")</f>
        <v>Non</v>
      </c>
      <c r="G121" s="3" t="s">
        <v>444</v>
      </c>
      <c r="H121" s="1" t="s">
        <v>390</v>
      </c>
      <c r="I121" s="1" t="s">
        <v>387</v>
      </c>
      <c r="J121" s="9" t="s">
        <v>387</v>
      </c>
      <c r="K121" s="3" t="s">
        <v>411</v>
      </c>
    </row>
    <row r="122" spans="1:11" ht="30" hidden="1" x14ac:dyDescent="0.25">
      <c r="A122" s="1" t="s">
        <v>161</v>
      </c>
      <c r="B122" s="1" t="s">
        <v>103</v>
      </c>
      <c r="C122" s="1">
        <v>5</v>
      </c>
      <c r="D122" s="1" t="s">
        <v>121</v>
      </c>
      <c r="E122" s="1" t="s">
        <v>678</v>
      </c>
      <c r="F122" s="1" t="str">
        <f>IF(COUNTIF(D:D,"="&amp;D122)=1,"Oui","Non")</f>
        <v>Oui</v>
      </c>
      <c r="G122" s="3" t="s">
        <v>699</v>
      </c>
      <c r="H122" s="1" t="s">
        <v>424</v>
      </c>
      <c r="I122" s="1" t="s">
        <v>700</v>
      </c>
      <c r="J122" s="9" t="s">
        <v>488</v>
      </c>
      <c r="K122" s="3" t="s">
        <v>411</v>
      </c>
    </row>
    <row r="123" spans="1:11" ht="30" hidden="1" x14ac:dyDescent="0.25">
      <c r="A123" s="1" t="s">
        <v>161</v>
      </c>
      <c r="B123" s="1" t="s">
        <v>122</v>
      </c>
      <c r="C123" s="1">
        <v>1</v>
      </c>
      <c r="D123" s="1" t="s">
        <v>123</v>
      </c>
      <c r="E123" s="1" t="s">
        <v>703</v>
      </c>
      <c r="F123" s="1" t="str">
        <f>IF(COUNTIF(D:D,"="&amp;D123)=1,"Oui","Non")</f>
        <v>Oui</v>
      </c>
      <c r="G123" s="3" t="s">
        <v>701</v>
      </c>
      <c r="H123" s="1" t="s">
        <v>390</v>
      </c>
      <c r="I123" s="1" t="s">
        <v>702</v>
      </c>
      <c r="J123" s="9">
        <v>6</v>
      </c>
      <c r="K123" s="3" t="s">
        <v>398</v>
      </c>
    </row>
    <row r="124" spans="1:11" hidden="1" x14ac:dyDescent="0.25">
      <c r="A124" s="1" t="s">
        <v>161</v>
      </c>
      <c r="B124" s="1" t="s">
        <v>122</v>
      </c>
      <c r="C124" s="1">
        <v>1</v>
      </c>
      <c r="D124" s="1" t="s">
        <v>124</v>
      </c>
      <c r="E124" s="1" t="s">
        <v>703</v>
      </c>
      <c r="F124" s="1" t="str">
        <f>IF(COUNTIF(D:D,"="&amp;D124)=1,"Oui","Non")</f>
        <v>Oui</v>
      </c>
      <c r="G124" s="3" t="s">
        <v>704</v>
      </c>
      <c r="H124" s="1" t="s">
        <v>390</v>
      </c>
      <c r="I124" s="1" t="s">
        <v>387</v>
      </c>
      <c r="J124" s="9" t="s">
        <v>387</v>
      </c>
      <c r="K124" s="3" t="s">
        <v>411</v>
      </c>
    </row>
    <row r="125" spans="1:11" ht="30" hidden="1" x14ac:dyDescent="0.25">
      <c r="A125" s="1" t="s">
        <v>161</v>
      </c>
      <c r="B125" s="1" t="s">
        <v>122</v>
      </c>
      <c r="C125" s="1">
        <v>1</v>
      </c>
      <c r="D125" s="1" t="s">
        <v>125</v>
      </c>
      <c r="E125" s="1" t="s">
        <v>422</v>
      </c>
      <c r="F125" s="1" t="str">
        <f>IF(COUNTIF(D:D,"="&amp;D125)=1,"Oui","Non")</f>
        <v>Oui</v>
      </c>
      <c r="G125" s="3" t="s">
        <v>705</v>
      </c>
      <c r="H125" s="1" t="s">
        <v>424</v>
      </c>
      <c r="I125" s="1" t="s">
        <v>387</v>
      </c>
      <c r="J125" s="9" t="s">
        <v>387</v>
      </c>
      <c r="K125" s="3" t="s">
        <v>398</v>
      </c>
    </row>
    <row r="126" spans="1:11" ht="30" hidden="1" x14ac:dyDescent="0.25">
      <c r="A126" s="1" t="s">
        <v>161</v>
      </c>
      <c r="B126" s="1" t="s">
        <v>122</v>
      </c>
      <c r="C126" s="1">
        <v>1</v>
      </c>
      <c r="D126" s="1" t="s">
        <v>126</v>
      </c>
      <c r="E126" s="1" t="s">
        <v>712</v>
      </c>
      <c r="F126" s="1" t="str">
        <f>IF(COUNTIF(D:D,"="&amp;D126)=1,"Oui","Non")</f>
        <v>Oui</v>
      </c>
      <c r="G126" s="3" t="s">
        <v>706</v>
      </c>
      <c r="H126" s="1" t="s">
        <v>707</v>
      </c>
      <c r="I126" s="1" t="s">
        <v>524</v>
      </c>
      <c r="J126" s="9" t="s">
        <v>488</v>
      </c>
      <c r="K126" s="3" t="s">
        <v>388</v>
      </c>
    </row>
    <row r="127" spans="1:11" hidden="1" x14ac:dyDescent="0.25">
      <c r="A127" s="1" t="s">
        <v>161</v>
      </c>
      <c r="B127" s="1" t="s">
        <v>122</v>
      </c>
      <c r="C127" s="1">
        <v>1</v>
      </c>
      <c r="D127" s="1" t="s">
        <v>45</v>
      </c>
      <c r="E127" s="1" t="s">
        <v>412</v>
      </c>
      <c r="F127" s="1" t="str">
        <f>IF(COUNTIF(D:D,"="&amp;D127)=1,"Oui","Non")</f>
        <v>Non</v>
      </c>
      <c r="G127" s="3" t="s">
        <v>417</v>
      </c>
      <c r="H127" s="1" t="s">
        <v>424</v>
      </c>
      <c r="I127" s="1" t="s">
        <v>387</v>
      </c>
      <c r="J127" s="9" t="s">
        <v>387</v>
      </c>
      <c r="K127" s="3" t="s">
        <v>388</v>
      </c>
    </row>
    <row r="128" spans="1:11" hidden="1" x14ac:dyDescent="0.25">
      <c r="A128" s="1" t="s">
        <v>161</v>
      </c>
      <c r="B128" s="1" t="s">
        <v>122</v>
      </c>
      <c r="C128" s="1">
        <v>2</v>
      </c>
      <c r="D128" s="1" t="s">
        <v>127</v>
      </c>
      <c r="E128" s="1" t="s">
        <v>703</v>
      </c>
      <c r="F128" s="1" t="str">
        <f>IF(COUNTIF(D:D,"="&amp;D128)=1,"Oui","Non")</f>
        <v>Oui</v>
      </c>
      <c r="G128" s="3" t="s">
        <v>708</v>
      </c>
      <c r="H128" s="1" t="s">
        <v>390</v>
      </c>
      <c r="I128" s="1" t="s">
        <v>621</v>
      </c>
      <c r="J128" s="9">
        <v>7</v>
      </c>
      <c r="K128" s="3" t="s">
        <v>398</v>
      </c>
    </row>
    <row r="129" spans="1:11" hidden="1" x14ac:dyDescent="0.25">
      <c r="A129" s="1" t="s">
        <v>161</v>
      </c>
      <c r="B129" s="1" t="s">
        <v>122</v>
      </c>
      <c r="C129" s="1">
        <v>2</v>
      </c>
      <c r="D129" s="1" t="s">
        <v>109</v>
      </c>
      <c r="E129" s="1" t="s">
        <v>298</v>
      </c>
      <c r="F129" s="1" t="str">
        <f>IF(COUNTIF(D:D,"="&amp;D129)=1,"Oui","Non")</f>
        <v>Non</v>
      </c>
      <c r="G129" s="3" t="s">
        <v>437</v>
      </c>
      <c r="H129" s="1" t="s">
        <v>396</v>
      </c>
      <c r="I129" s="1" t="s">
        <v>517</v>
      </c>
      <c r="J129" s="9">
        <v>6</v>
      </c>
      <c r="K129" s="3" t="s">
        <v>438</v>
      </c>
    </row>
    <row r="130" spans="1:11" ht="30" hidden="1" x14ac:dyDescent="0.25">
      <c r="A130" s="1" t="s">
        <v>161</v>
      </c>
      <c r="B130" s="1" t="s">
        <v>122</v>
      </c>
      <c r="C130" s="1">
        <v>2</v>
      </c>
      <c r="D130" s="1" t="s">
        <v>128</v>
      </c>
      <c r="E130" s="1" t="s">
        <v>703</v>
      </c>
      <c r="F130" s="1" t="str">
        <f>IF(COUNTIF(D:D,"="&amp;D130)=1,"Oui","Non")</f>
        <v>Oui</v>
      </c>
      <c r="G130" s="3" t="s">
        <v>709</v>
      </c>
      <c r="H130" s="1" t="s">
        <v>390</v>
      </c>
      <c r="I130" s="1" t="s">
        <v>710</v>
      </c>
      <c r="J130" s="9" t="s">
        <v>488</v>
      </c>
      <c r="K130" s="3" t="s">
        <v>711</v>
      </c>
    </row>
    <row r="131" spans="1:11" ht="30" hidden="1" x14ac:dyDescent="0.25">
      <c r="A131" s="1" t="s">
        <v>161</v>
      </c>
      <c r="B131" s="1" t="s">
        <v>122</v>
      </c>
      <c r="C131" s="1">
        <v>2</v>
      </c>
      <c r="D131" s="1" t="s">
        <v>129</v>
      </c>
      <c r="E131" s="1" t="s">
        <v>703</v>
      </c>
      <c r="F131" s="1" t="str">
        <f>IF(COUNTIF(D:D,"="&amp;D131)=1,"Oui","Non")</f>
        <v>Non</v>
      </c>
      <c r="G131" s="3" t="s">
        <v>447</v>
      </c>
      <c r="H131" s="1" t="s">
        <v>424</v>
      </c>
      <c r="I131" s="1" t="s">
        <v>445</v>
      </c>
      <c r="J131" s="9">
        <v>6</v>
      </c>
      <c r="K131" s="3" t="s">
        <v>446</v>
      </c>
    </row>
    <row r="132" spans="1:11" ht="30" hidden="1" x14ac:dyDescent="0.25">
      <c r="A132" s="1" t="s">
        <v>161</v>
      </c>
      <c r="B132" s="1" t="s">
        <v>122</v>
      </c>
      <c r="C132" s="1">
        <v>2</v>
      </c>
      <c r="D132" s="1" t="s">
        <v>130</v>
      </c>
      <c r="E132" s="1" t="s">
        <v>712</v>
      </c>
      <c r="F132" s="1" t="str">
        <f>IF(COUNTIF(D:D,"="&amp;D132)=1,"Oui","Non")</f>
        <v>Oui</v>
      </c>
      <c r="G132" s="3" t="s">
        <v>714</v>
      </c>
      <c r="H132" s="1" t="s">
        <v>390</v>
      </c>
      <c r="I132" s="1" t="s">
        <v>618</v>
      </c>
      <c r="J132" s="9">
        <v>8</v>
      </c>
      <c r="K132" s="3" t="s">
        <v>388</v>
      </c>
    </row>
    <row r="133" spans="1:11" ht="30" hidden="1" x14ac:dyDescent="0.25">
      <c r="A133" s="1" t="s">
        <v>161</v>
      </c>
      <c r="B133" s="1" t="s">
        <v>122</v>
      </c>
      <c r="C133" s="1">
        <v>3</v>
      </c>
      <c r="D133" s="1" t="s">
        <v>131</v>
      </c>
      <c r="E133" s="1" t="s">
        <v>703</v>
      </c>
      <c r="F133" s="1" t="str">
        <f>IF(COUNTIF(D:D,"="&amp;D133)=1,"Oui","Non")</f>
        <v>Non</v>
      </c>
      <c r="G133" s="3" t="s">
        <v>448</v>
      </c>
      <c r="H133" s="1" t="s">
        <v>424</v>
      </c>
      <c r="I133" s="1" t="s">
        <v>486</v>
      </c>
      <c r="J133" s="9" t="s">
        <v>475</v>
      </c>
      <c r="K133" s="3" t="s">
        <v>449</v>
      </c>
    </row>
    <row r="134" spans="1:11" hidden="1" x14ac:dyDescent="0.25">
      <c r="A134" s="1" t="s">
        <v>161</v>
      </c>
      <c r="B134" s="1" t="s">
        <v>122</v>
      </c>
      <c r="C134" s="1">
        <v>3</v>
      </c>
      <c r="D134" s="1" t="s">
        <v>132</v>
      </c>
      <c r="E134" s="1" t="s">
        <v>703</v>
      </c>
      <c r="F134" s="1" t="str">
        <f>IF(COUNTIF(D:D,"="&amp;D134)=1,"Oui","Non")</f>
        <v>Oui</v>
      </c>
      <c r="G134" s="3" t="s">
        <v>715</v>
      </c>
      <c r="H134" s="1" t="s">
        <v>390</v>
      </c>
      <c r="I134" s="1" t="s">
        <v>700</v>
      </c>
      <c r="J134" s="9" t="s">
        <v>488</v>
      </c>
      <c r="K134" s="3" t="s">
        <v>449</v>
      </c>
    </row>
    <row r="135" spans="1:11" ht="30" hidden="1" x14ac:dyDescent="0.25">
      <c r="A135" s="1" t="s">
        <v>161</v>
      </c>
      <c r="B135" s="1" t="s">
        <v>122</v>
      </c>
      <c r="C135" s="1">
        <v>3</v>
      </c>
      <c r="D135" s="1" t="s">
        <v>133</v>
      </c>
      <c r="E135" s="1" t="s">
        <v>703</v>
      </c>
      <c r="F135" s="1" t="str">
        <f>IF(COUNTIF(D:D,"="&amp;D135)=1,"Oui","Non")</f>
        <v>Oui</v>
      </c>
      <c r="G135" s="3" t="s">
        <v>716</v>
      </c>
      <c r="H135" s="1" t="s">
        <v>557</v>
      </c>
      <c r="I135" s="1" t="s">
        <v>486</v>
      </c>
      <c r="J135" s="9">
        <v>8</v>
      </c>
      <c r="K135" s="3" t="s">
        <v>388</v>
      </c>
    </row>
    <row r="136" spans="1:11" ht="30" hidden="1" x14ac:dyDescent="0.25">
      <c r="A136" s="1" t="s">
        <v>161</v>
      </c>
      <c r="B136" s="1" t="s">
        <v>122</v>
      </c>
      <c r="C136" s="1">
        <v>3</v>
      </c>
      <c r="D136" s="1" t="s">
        <v>134</v>
      </c>
      <c r="E136" s="1" t="s">
        <v>712</v>
      </c>
      <c r="F136" s="1" t="str">
        <f>IF(COUNTIF(D:D,"="&amp;D136)=1,"Oui","Non")</f>
        <v>Oui</v>
      </c>
      <c r="G136" s="3" t="s">
        <v>717</v>
      </c>
      <c r="H136" s="1" t="s">
        <v>390</v>
      </c>
      <c r="I136" s="1" t="s">
        <v>718</v>
      </c>
      <c r="J136" s="9" t="s">
        <v>488</v>
      </c>
      <c r="K136" s="3" t="s">
        <v>398</v>
      </c>
    </row>
    <row r="137" spans="1:11" ht="30" hidden="1" x14ac:dyDescent="0.25">
      <c r="A137" s="1" t="s">
        <v>161</v>
      </c>
      <c r="B137" s="1" t="s">
        <v>122</v>
      </c>
      <c r="C137" s="1">
        <v>4</v>
      </c>
      <c r="D137" s="1" t="s">
        <v>135</v>
      </c>
      <c r="E137" s="1" t="s">
        <v>712</v>
      </c>
      <c r="F137" s="1" t="str">
        <f>IF(COUNTIF(D:D,"="&amp;D137)=1,"Oui","Non")</f>
        <v>Oui</v>
      </c>
      <c r="G137" s="3" t="s">
        <v>719</v>
      </c>
      <c r="H137" s="1" t="s">
        <v>390</v>
      </c>
      <c r="I137" s="1" t="s">
        <v>720</v>
      </c>
      <c r="J137" s="9">
        <v>6</v>
      </c>
      <c r="K137" s="3" t="s">
        <v>398</v>
      </c>
    </row>
    <row r="138" spans="1:11" ht="30" hidden="1" x14ac:dyDescent="0.25">
      <c r="A138" s="1" t="s">
        <v>161</v>
      </c>
      <c r="B138" s="1" t="s">
        <v>122</v>
      </c>
      <c r="C138" s="1">
        <v>4</v>
      </c>
      <c r="D138" s="1" t="s">
        <v>136</v>
      </c>
      <c r="E138" s="1" t="s">
        <v>422</v>
      </c>
      <c r="F138" s="1" t="str">
        <f>IF(COUNTIF(D:D,"="&amp;D138)=1,"Oui","Non")</f>
        <v>Oui</v>
      </c>
      <c r="G138" s="3" t="s">
        <v>721</v>
      </c>
      <c r="H138" s="1" t="s">
        <v>424</v>
      </c>
      <c r="I138" s="1" t="s">
        <v>387</v>
      </c>
      <c r="J138" s="9" t="s">
        <v>387</v>
      </c>
      <c r="K138" s="3" t="s">
        <v>722</v>
      </c>
    </row>
    <row r="139" spans="1:11" ht="45" hidden="1" x14ac:dyDescent="0.25">
      <c r="A139" s="1" t="s">
        <v>161</v>
      </c>
      <c r="B139" s="1" t="s">
        <v>122</v>
      </c>
      <c r="C139" s="1">
        <v>4</v>
      </c>
      <c r="D139" s="1" t="s">
        <v>137</v>
      </c>
      <c r="E139" s="1" t="s">
        <v>712</v>
      </c>
      <c r="F139" s="1" t="str">
        <f>IF(COUNTIF(D:D,"="&amp;D139)=1,"Oui","Non")</f>
        <v>Oui</v>
      </c>
      <c r="G139" s="3" t="s">
        <v>723</v>
      </c>
      <c r="H139" s="1" t="s">
        <v>424</v>
      </c>
      <c r="I139" s="1" t="s">
        <v>621</v>
      </c>
      <c r="J139" s="9" t="s">
        <v>488</v>
      </c>
      <c r="K139" s="3" t="s">
        <v>388</v>
      </c>
    </row>
    <row r="140" spans="1:11" hidden="1" x14ac:dyDescent="0.25">
      <c r="A140" s="1" t="s">
        <v>161</v>
      </c>
      <c r="B140" s="1" t="s">
        <v>122</v>
      </c>
      <c r="C140" s="1">
        <v>5</v>
      </c>
      <c r="D140" s="1" t="s">
        <v>138</v>
      </c>
      <c r="E140" s="1" t="s">
        <v>633</v>
      </c>
      <c r="F140" s="1" t="str">
        <f>IF(COUNTIF(D:D,"="&amp;D140)=1,"Oui","Non")</f>
        <v>Non</v>
      </c>
      <c r="G140" s="3" t="s">
        <v>450</v>
      </c>
      <c r="H140" s="1" t="s">
        <v>390</v>
      </c>
      <c r="I140" s="1" t="s">
        <v>487</v>
      </c>
      <c r="J140" s="9">
        <v>8</v>
      </c>
      <c r="K140" s="3" t="s">
        <v>451</v>
      </c>
    </row>
    <row r="141" spans="1:11" hidden="1" x14ac:dyDescent="0.25">
      <c r="A141" s="1" t="s">
        <v>161</v>
      </c>
      <c r="B141" s="1" t="s">
        <v>122</v>
      </c>
      <c r="C141" s="1">
        <v>5</v>
      </c>
      <c r="D141" s="1" t="s">
        <v>139</v>
      </c>
      <c r="E141" s="1" t="s">
        <v>712</v>
      </c>
      <c r="F141" s="1" t="str">
        <f>IF(COUNTIF(D:D,"="&amp;D141)=1,"Oui","Non")</f>
        <v>Oui</v>
      </c>
      <c r="G141" s="3" t="s">
        <v>724</v>
      </c>
      <c r="H141" s="1" t="s">
        <v>390</v>
      </c>
      <c r="I141" s="1" t="s">
        <v>503</v>
      </c>
      <c r="J141" s="9" t="s">
        <v>488</v>
      </c>
      <c r="K141" s="3" t="s">
        <v>388</v>
      </c>
    </row>
    <row r="142" spans="1:11" ht="30" hidden="1" x14ac:dyDescent="0.25">
      <c r="A142" s="1" t="s">
        <v>161</v>
      </c>
      <c r="B142" s="1" t="s">
        <v>122</v>
      </c>
      <c r="C142" s="1">
        <v>6</v>
      </c>
      <c r="D142" s="1" t="s">
        <v>120</v>
      </c>
      <c r="E142" s="1" t="s">
        <v>594</v>
      </c>
      <c r="F142" s="1" t="str">
        <f>IF(COUNTIF(D:D,"="&amp;D142)=1,"Oui","Non")</f>
        <v>Non</v>
      </c>
      <c r="G142" s="3" t="s">
        <v>444</v>
      </c>
      <c r="H142" s="1" t="s">
        <v>390</v>
      </c>
      <c r="I142" s="1" t="s">
        <v>387</v>
      </c>
      <c r="J142" s="9" t="s">
        <v>387</v>
      </c>
      <c r="K142" s="3" t="s">
        <v>411</v>
      </c>
    </row>
    <row r="143" spans="1:11" ht="45" hidden="1" x14ac:dyDescent="0.25">
      <c r="A143" s="1" t="s">
        <v>161</v>
      </c>
      <c r="B143" s="1" t="s">
        <v>140</v>
      </c>
      <c r="C143" s="1">
        <v>1</v>
      </c>
      <c r="D143" s="1" t="s">
        <v>141</v>
      </c>
      <c r="E143" s="1" t="s">
        <v>452</v>
      </c>
      <c r="F143" s="1" t="str">
        <f>IF(COUNTIF(D:D,"="&amp;D143)=1,"Oui","Non")</f>
        <v>Oui</v>
      </c>
      <c r="G143" s="3" t="s">
        <v>725</v>
      </c>
      <c r="H143" s="1" t="s">
        <v>454</v>
      </c>
      <c r="I143" s="1" t="s">
        <v>387</v>
      </c>
      <c r="J143" s="9" t="s">
        <v>387</v>
      </c>
      <c r="K143" s="3" t="s">
        <v>472</v>
      </c>
    </row>
    <row r="144" spans="1:11" hidden="1" x14ac:dyDescent="0.25">
      <c r="A144" s="1" t="s">
        <v>161</v>
      </c>
      <c r="B144" s="1" t="s">
        <v>140</v>
      </c>
      <c r="C144" s="1">
        <v>1</v>
      </c>
      <c r="D144" s="1" t="s">
        <v>142</v>
      </c>
      <c r="E144" s="1" t="s">
        <v>452</v>
      </c>
      <c r="F144" s="1" t="str">
        <f>IF(COUNTIF(D:D,"="&amp;D144)=1,"Oui","Non")</f>
        <v>Non</v>
      </c>
      <c r="G144" s="3" t="s">
        <v>453</v>
      </c>
      <c r="H144" s="1" t="s">
        <v>454</v>
      </c>
      <c r="I144" s="1" t="s">
        <v>387</v>
      </c>
      <c r="J144" s="9" t="s">
        <v>387</v>
      </c>
      <c r="K144" s="3" t="s">
        <v>388</v>
      </c>
    </row>
    <row r="145" spans="1:11" hidden="1" x14ac:dyDescent="0.25">
      <c r="A145" s="1" t="s">
        <v>161</v>
      </c>
      <c r="B145" s="1" t="s">
        <v>140</v>
      </c>
      <c r="C145" s="1">
        <v>1</v>
      </c>
      <c r="D145" s="1" t="s">
        <v>143</v>
      </c>
      <c r="E145" s="1" t="s">
        <v>797</v>
      </c>
      <c r="F145" s="1" t="str">
        <f>IF(COUNTIF(D:D,"="&amp;D145)=1,"Oui","Non")</f>
        <v>Non</v>
      </c>
      <c r="G145" s="3" t="s">
        <v>455</v>
      </c>
      <c r="H145" s="1" t="s">
        <v>424</v>
      </c>
      <c r="I145" s="1" t="s">
        <v>387</v>
      </c>
      <c r="J145" s="9" t="s">
        <v>387</v>
      </c>
      <c r="K145" s="3" t="s">
        <v>388</v>
      </c>
    </row>
    <row r="146" spans="1:11" hidden="1" x14ac:dyDescent="0.25">
      <c r="A146" s="1" t="s">
        <v>161</v>
      </c>
      <c r="B146" s="1" t="s">
        <v>140</v>
      </c>
      <c r="C146" s="1">
        <v>1</v>
      </c>
      <c r="D146" s="1" t="s">
        <v>144</v>
      </c>
      <c r="E146" s="1" t="s">
        <v>783</v>
      </c>
      <c r="F146" s="1" t="str">
        <f>IF(COUNTIF(D:D,"="&amp;D146)=1,"Oui","Non")</f>
        <v>Non</v>
      </c>
      <c r="G146" s="3" t="s">
        <v>456</v>
      </c>
      <c r="H146" s="1" t="s">
        <v>390</v>
      </c>
      <c r="I146" s="1" t="s">
        <v>488</v>
      </c>
      <c r="J146" s="9" t="s">
        <v>475</v>
      </c>
      <c r="K146" s="3" t="s">
        <v>398</v>
      </c>
    </row>
    <row r="147" spans="1:11" ht="30" hidden="1" x14ac:dyDescent="0.25">
      <c r="A147" s="1" t="s">
        <v>161</v>
      </c>
      <c r="B147" s="1" t="s">
        <v>140</v>
      </c>
      <c r="C147" s="1">
        <v>1</v>
      </c>
      <c r="D147" s="1" t="s">
        <v>145</v>
      </c>
      <c r="E147" s="1" t="s">
        <v>768</v>
      </c>
      <c r="F147" s="1" t="str">
        <f>IF(COUNTIF(D:D,"="&amp;D147)=1,"Oui","Non")</f>
        <v>Oui</v>
      </c>
      <c r="G147" s="3" t="s">
        <v>737</v>
      </c>
      <c r="H147" s="1" t="s">
        <v>396</v>
      </c>
      <c r="I147" s="3" t="s">
        <v>387</v>
      </c>
      <c r="J147" s="9" t="s">
        <v>387</v>
      </c>
      <c r="K147" s="3" t="s">
        <v>388</v>
      </c>
    </row>
    <row r="148" spans="1:11" ht="30" hidden="1" x14ac:dyDescent="0.25">
      <c r="A148" s="1" t="s">
        <v>161</v>
      </c>
      <c r="B148" s="1" t="s">
        <v>140</v>
      </c>
      <c r="C148" s="1">
        <v>2</v>
      </c>
      <c r="D148" s="1" t="s">
        <v>146</v>
      </c>
      <c r="E148" s="1" t="s">
        <v>769</v>
      </c>
      <c r="F148" s="1" t="str">
        <f>IF(COUNTIF(D:D,"="&amp;D148)=1,"Oui","Non")</f>
        <v>Oui</v>
      </c>
      <c r="G148" s="3" t="s">
        <v>726</v>
      </c>
      <c r="H148" s="1" t="s">
        <v>396</v>
      </c>
      <c r="I148" s="1" t="s">
        <v>387</v>
      </c>
      <c r="J148" s="9" t="s">
        <v>387</v>
      </c>
      <c r="K148" s="3" t="s">
        <v>388</v>
      </c>
    </row>
    <row r="149" spans="1:11" hidden="1" x14ac:dyDescent="0.25">
      <c r="A149" s="1" t="s">
        <v>161</v>
      </c>
      <c r="B149" s="1" t="s">
        <v>140</v>
      </c>
      <c r="C149" s="1">
        <v>2</v>
      </c>
      <c r="D149" s="1" t="s">
        <v>147</v>
      </c>
      <c r="E149" s="1" t="s">
        <v>768</v>
      </c>
      <c r="F149" s="1" t="str">
        <f>IF(COUNTIF(D:D,"="&amp;D149)=1,"Oui","Non")</f>
        <v>Oui</v>
      </c>
      <c r="G149" s="3" t="s">
        <v>727</v>
      </c>
      <c r="H149" s="1" t="s">
        <v>390</v>
      </c>
      <c r="I149" s="1" t="s">
        <v>387</v>
      </c>
      <c r="J149" s="9" t="s">
        <v>387</v>
      </c>
      <c r="K149" s="3" t="s">
        <v>411</v>
      </c>
    </row>
    <row r="150" spans="1:11" hidden="1" x14ac:dyDescent="0.25">
      <c r="A150" s="1" t="s">
        <v>161</v>
      </c>
      <c r="B150" s="1" t="s">
        <v>140</v>
      </c>
      <c r="C150" s="1">
        <v>2</v>
      </c>
      <c r="D150" s="1" t="s">
        <v>29</v>
      </c>
      <c r="E150" s="1" t="s">
        <v>412</v>
      </c>
      <c r="F150" s="1" t="str">
        <f>IF(COUNTIF(D:D,"="&amp;D150)=1,"Oui","Non")</f>
        <v>Non</v>
      </c>
      <c r="G150" s="3" t="s">
        <v>413</v>
      </c>
      <c r="H150" s="1" t="s">
        <v>390</v>
      </c>
      <c r="I150" s="1" t="s">
        <v>414</v>
      </c>
      <c r="J150" s="9">
        <v>7</v>
      </c>
      <c r="K150" s="3" t="s">
        <v>398</v>
      </c>
    </row>
    <row r="151" spans="1:11" hidden="1" x14ac:dyDescent="0.25">
      <c r="A151" s="1" t="s">
        <v>161</v>
      </c>
      <c r="B151" s="1" t="s">
        <v>140</v>
      </c>
      <c r="C151" s="1">
        <v>2</v>
      </c>
      <c r="D151" s="1" t="s">
        <v>148</v>
      </c>
      <c r="E151" s="1" t="s">
        <v>769</v>
      </c>
      <c r="F151" s="1" t="str">
        <f>IF(COUNTIF(D:D,"="&amp;D151)=1,"Oui","Non")</f>
        <v>Non</v>
      </c>
      <c r="G151" s="3" t="s">
        <v>458</v>
      </c>
      <c r="H151" s="1" t="s">
        <v>390</v>
      </c>
      <c r="I151" s="1" t="s">
        <v>457</v>
      </c>
      <c r="J151" s="9" t="s">
        <v>475</v>
      </c>
      <c r="K151" s="3" t="s">
        <v>449</v>
      </c>
    </row>
    <row r="152" spans="1:11" hidden="1" x14ac:dyDescent="0.25">
      <c r="A152" s="1" t="s">
        <v>161</v>
      </c>
      <c r="B152" s="1" t="s">
        <v>140</v>
      </c>
      <c r="C152" s="1">
        <v>3</v>
      </c>
      <c r="D152" s="1" t="s">
        <v>149</v>
      </c>
      <c r="E152" s="1" t="s">
        <v>769</v>
      </c>
      <c r="F152" s="1" t="str">
        <f>IF(COUNTIF(D:D,"="&amp;D152)=1,"Oui","Non")</f>
        <v>Oui</v>
      </c>
      <c r="G152" s="3" t="s">
        <v>728</v>
      </c>
      <c r="H152" s="1" t="s">
        <v>390</v>
      </c>
      <c r="I152" s="1" t="s">
        <v>488</v>
      </c>
      <c r="J152" s="9" t="s">
        <v>496</v>
      </c>
      <c r="K152" s="3" t="s">
        <v>388</v>
      </c>
    </row>
    <row r="153" spans="1:11" hidden="1" x14ac:dyDescent="0.25">
      <c r="A153" s="1" t="s">
        <v>161</v>
      </c>
      <c r="B153" s="1" t="s">
        <v>140</v>
      </c>
      <c r="C153" s="1">
        <v>3</v>
      </c>
      <c r="D153" s="1" t="s">
        <v>150</v>
      </c>
      <c r="E153" s="1" t="s">
        <v>452</v>
      </c>
      <c r="F153" s="1" t="str">
        <f>IF(COUNTIF(D:D,"="&amp;D153)=1,"Oui","Non")</f>
        <v>Non</v>
      </c>
      <c r="G153" s="3" t="s">
        <v>459</v>
      </c>
      <c r="H153" s="1" t="s">
        <v>390</v>
      </c>
      <c r="I153" s="1" t="s">
        <v>441</v>
      </c>
      <c r="J153" s="9">
        <v>7</v>
      </c>
      <c r="K153" s="3" t="s">
        <v>388</v>
      </c>
    </row>
    <row r="154" spans="1:11" ht="30" hidden="1" x14ac:dyDescent="0.25">
      <c r="A154" s="1" t="s">
        <v>161</v>
      </c>
      <c r="B154" s="1" t="s">
        <v>140</v>
      </c>
      <c r="C154" s="1">
        <v>3</v>
      </c>
      <c r="D154" s="1" t="s">
        <v>151</v>
      </c>
      <c r="E154" s="1" t="s">
        <v>452</v>
      </c>
      <c r="F154" s="1" t="str">
        <f>IF(COUNTIF(D:D,"="&amp;D154)=1,"Oui","Non")</f>
        <v>Oui</v>
      </c>
      <c r="G154" s="3" t="s">
        <v>729</v>
      </c>
      <c r="H154" s="1" t="s">
        <v>454</v>
      </c>
      <c r="I154" s="1" t="s">
        <v>387</v>
      </c>
      <c r="J154" s="9" t="s">
        <v>387</v>
      </c>
      <c r="K154" s="3" t="s">
        <v>680</v>
      </c>
    </row>
    <row r="155" spans="1:11" ht="30" hidden="1" x14ac:dyDescent="0.25">
      <c r="A155" s="1" t="s">
        <v>161</v>
      </c>
      <c r="B155" s="1" t="s">
        <v>140</v>
      </c>
      <c r="C155" s="1">
        <v>3</v>
      </c>
      <c r="D155" s="1" t="s">
        <v>152</v>
      </c>
      <c r="E155" s="1" t="s">
        <v>845</v>
      </c>
      <c r="F155" s="1" t="str">
        <f>IF(COUNTIF(D:D,"="&amp;D155)=1,"Oui","Non")</f>
        <v>Oui</v>
      </c>
      <c r="G155" s="3" t="s">
        <v>767</v>
      </c>
      <c r="H155" s="1" t="s">
        <v>390</v>
      </c>
      <c r="I155" s="1" t="s">
        <v>387</v>
      </c>
      <c r="J155" s="9" t="s">
        <v>387</v>
      </c>
      <c r="K155" s="3" t="s">
        <v>411</v>
      </c>
    </row>
    <row r="156" spans="1:11" hidden="1" x14ac:dyDescent="0.25">
      <c r="A156" s="1" t="s">
        <v>161</v>
      </c>
      <c r="B156" s="1" t="s">
        <v>140</v>
      </c>
      <c r="C156" s="1">
        <v>4</v>
      </c>
      <c r="D156" s="1" t="s">
        <v>15</v>
      </c>
      <c r="E156" s="1" t="s">
        <v>402</v>
      </c>
      <c r="F156" s="1" t="str">
        <f>IF(COUNTIF(D:D,"="&amp;D156)=1,"Oui","Non")</f>
        <v>Non</v>
      </c>
      <c r="G156" s="3" t="s">
        <v>403</v>
      </c>
      <c r="H156" s="1" t="s">
        <v>390</v>
      </c>
      <c r="I156" s="1" t="s">
        <v>404</v>
      </c>
      <c r="J156" s="9">
        <v>6</v>
      </c>
      <c r="K156" s="3" t="s">
        <v>388</v>
      </c>
    </row>
    <row r="157" spans="1:11" ht="60" hidden="1" x14ac:dyDescent="0.25">
      <c r="A157" s="1" t="s">
        <v>161</v>
      </c>
      <c r="B157" s="1" t="s">
        <v>140</v>
      </c>
      <c r="C157" s="1">
        <v>4</v>
      </c>
      <c r="D157" s="1" t="s">
        <v>153</v>
      </c>
      <c r="E157" s="1" t="s">
        <v>769</v>
      </c>
      <c r="F157" s="1" t="str">
        <f>IF(COUNTIF(D:D,"="&amp;D157)=1,"Oui","Non")</f>
        <v>Oui</v>
      </c>
      <c r="G157" s="3" t="s">
        <v>730</v>
      </c>
      <c r="H157" s="1" t="s">
        <v>390</v>
      </c>
      <c r="I157" s="1" t="s">
        <v>387</v>
      </c>
      <c r="J157" s="9" t="s">
        <v>387</v>
      </c>
      <c r="K157" s="3" t="s">
        <v>411</v>
      </c>
    </row>
    <row r="158" spans="1:11" ht="45" hidden="1" x14ac:dyDescent="0.25">
      <c r="A158" s="1" t="s">
        <v>161</v>
      </c>
      <c r="B158" s="1" t="s">
        <v>140</v>
      </c>
      <c r="C158" s="1">
        <v>4</v>
      </c>
      <c r="D158" s="1" t="s">
        <v>154</v>
      </c>
      <c r="E158" s="1" t="s">
        <v>768</v>
      </c>
      <c r="F158" s="1" t="str">
        <f>IF(COUNTIF(D:D,"="&amp;D158)=1,"Oui","Non")</f>
        <v>Oui</v>
      </c>
      <c r="G158" s="3" t="s">
        <v>731</v>
      </c>
      <c r="H158" s="1" t="s">
        <v>424</v>
      </c>
      <c r="I158" s="1" t="s">
        <v>387</v>
      </c>
      <c r="J158" s="9" t="s">
        <v>387</v>
      </c>
      <c r="K158" s="3" t="s">
        <v>388</v>
      </c>
    </row>
    <row r="159" spans="1:11" ht="45" hidden="1" x14ac:dyDescent="0.25">
      <c r="A159" s="1" t="s">
        <v>161</v>
      </c>
      <c r="B159" s="1" t="s">
        <v>140</v>
      </c>
      <c r="C159" s="1">
        <v>4</v>
      </c>
      <c r="D159" s="1" t="s">
        <v>155</v>
      </c>
      <c r="E159" s="1" t="s">
        <v>452</v>
      </c>
      <c r="F159" s="1" t="str">
        <f>IF(COUNTIF(D:D,"="&amp;D159)=1,"Oui","Non")</f>
        <v>Oui</v>
      </c>
      <c r="G159" s="3" t="s">
        <v>732</v>
      </c>
      <c r="H159" s="1" t="s">
        <v>454</v>
      </c>
      <c r="I159" s="1" t="s">
        <v>387</v>
      </c>
      <c r="J159" s="9" t="s">
        <v>387</v>
      </c>
      <c r="K159" s="3" t="s">
        <v>733</v>
      </c>
    </row>
    <row r="160" spans="1:11" hidden="1" x14ac:dyDescent="0.25">
      <c r="A160" s="1" t="s">
        <v>161</v>
      </c>
      <c r="B160" s="1" t="s">
        <v>140</v>
      </c>
      <c r="C160" s="1">
        <v>5</v>
      </c>
      <c r="D160" s="1" t="s">
        <v>156</v>
      </c>
      <c r="E160" s="1" t="s">
        <v>311</v>
      </c>
      <c r="F160" s="1" t="str">
        <f>IF(COUNTIF(D:D,"="&amp;D160)=1,"Oui","Non")</f>
        <v>Oui</v>
      </c>
      <c r="G160" s="3" t="s">
        <v>734</v>
      </c>
      <c r="H160" s="1" t="s">
        <v>424</v>
      </c>
      <c r="I160" s="1" t="s">
        <v>387</v>
      </c>
      <c r="J160" s="9" t="s">
        <v>387</v>
      </c>
      <c r="K160" s="3" t="s">
        <v>388</v>
      </c>
    </row>
    <row r="161" spans="1:11" hidden="1" x14ac:dyDescent="0.25">
      <c r="A161" s="1" t="s">
        <v>161</v>
      </c>
      <c r="B161" s="1" t="s">
        <v>140</v>
      </c>
      <c r="C161" s="1">
        <v>5</v>
      </c>
      <c r="D161" s="1" t="s">
        <v>157</v>
      </c>
      <c r="E161" s="1" t="s">
        <v>488</v>
      </c>
      <c r="F161" s="1" t="str">
        <f>IF(COUNTIF(D:D,"="&amp;D161)=1,"Oui","Non")</f>
        <v>Oui</v>
      </c>
      <c r="G161" s="3" t="s">
        <v>735</v>
      </c>
      <c r="H161" s="1" t="s">
        <v>396</v>
      </c>
      <c r="I161" s="1" t="s">
        <v>602</v>
      </c>
      <c r="J161" s="9">
        <v>8</v>
      </c>
      <c r="K161" s="3" t="s">
        <v>388</v>
      </c>
    </row>
    <row r="162" spans="1:11" ht="30" hidden="1" x14ac:dyDescent="0.25">
      <c r="A162" s="1" t="s">
        <v>161</v>
      </c>
      <c r="B162" s="1" t="s">
        <v>140</v>
      </c>
      <c r="C162" s="1">
        <v>6</v>
      </c>
      <c r="D162" s="1" t="s">
        <v>158</v>
      </c>
      <c r="E162" s="1" t="s">
        <v>845</v>
      </c>
      <c r="F162" s="1" t="str">
        <f>IF(COUNTIF(D:D,"="&amp;D162)=1,"Oui","Non")</f>
        <v>Oui</v>
      </c>
      <c r="G162" s="3" t="s">
        <v>736</v>
      </c>
      <c r="H162" s="1" t="s">
        <v>390</v>
      </c>
      <c r="I162" s="1" t="s">
        <v>387</v>
      </c>
      <c r="J162" s="9" t="s">
        <v>387</v>
      </c>
      <c r="K162" s="3" t="s">
        <v>411</v>
      </c>
    </row>
    <row r="163" spans="1:11" ht="30" hidden="1" x14ac:dyDescent="0.25">
      <c r="A163" s="1" t="s">
        <v>162</v>
      </c>
      <c r="B163" s="1" t="s">
        <v>163</v>
      </c>
      <c r="C163" s="1">
        <v>1</v>
      </c>
      <c r="D163" s="1" t="s">
        <v>164</v>
      </c>
      <c r="E163" s="1" t="s">
        <v>576</v>
      </c>
      <c r="F163" s="1" t="str">
        <f>IF(COUNTIF(D:D,"="&amp;D163)=1,"Oui","Non")</f>
        <v>Oui</v>
      </c>
      <c r="G163" s="3" t="s">
        <v>740</v>
      </c>
      <c r="H163" s="1" t="s">
        <v>390</v>
      </c>
      <c r="I163" s="1" t="s">
        <v>387</v>
      </c>
      <c r="J163" s="9" t="s">
        <v>387</v>
      </c>
      <c r="K163" s="3" t="s">
        <v>411</v>
      </c>
    </row>
    <row r="164" spans="1:11" ht="30" hidden="1" x14ac:dyDescent="0.25">
      <c r="A164" s="1" t="s">
        <v>162</v>
      </c>
      <c r="B164" s="1" t="s">
        <v>163</v>
      </c>
      <c r="C164" s="1">
        <v>1</v>
      </c>
      <c r="D164" s="1" t="s">
        <v>87</v>
      </c>
      <c r="E164" s="1" t="s">
        <v>412</v>
      </c>
      <c r="F164" s="1" t="str">
        <f>IF(COUNTIF(D:D,"="&amp;D164)=1,"Oui","Non")</f>
        <v>Non</v>
      </c>
      <c r="G164" s="3" t="s">
        <v>408</v>
      </c>
      <c r="H164" s="1" t="s">
        <v>390</v>
      </c>
      <c r="I164" s="1" t="s">
        <v>409</v>
      </c>
      <c r="J164" s="9" t="s">
        <v>475</v>
      </c>
      <c r="K164" s="3" t="s">
        <v>398</v>
      </c>
    </row>
    <row r="165" spans="1:11" ht="30" hidden="1" x14ac:dyDescent="0.25">
      <c r="A165" s="1" t="s">
        <v>162</v>
      </c>
      <c r="B165" s="1" t="s">
        <v>163</v>
      </c>
      <c r="C165" s="1">
        <v>1</v>
      </c>
      <c r="D165" s="1" t="s">
        <v>165</v>
      </c>
      <c r="E165" s="1" t="s">
        <v>427</v>
      </c>
      <c r="F165" s="1" t="str">
        <f>IF(COUNTIF(D:D,"="&amp;D165)=1,"Oui","Non")</f>
        <v>Oui</v>
      </c>
      <c r="G165" s="3" t="s">
        <v>742</v>
      </c>
      <c r="H165" s="1" t="s">
        <v>390</v>
      </c>
      <c r="I165" s="1" t="s">
        <v>387</v>
      </c>
      <c r="J165" s="9" t="s">
        <v>387</v>
      </c>
      <c r="K165" s="3" t="s">
        <v>411</v>
      </c>
    </row>
    <row r="166" spans="1:11" hidden="1" x14ac:dyDescent="0.25">
      <c r="A166" s="1" t="s">
        <v>162</v>
      </c>
      <c r="B166" s="1" t="s">
        <v>163</v>
      </c>
      <c r="C166" s="1">
        <v>1</v>
      </c>
      <c r="D166" s="1" t="s">
        <v>166</v>
      </c>
      <c r="E166" s="1" t="s">
        <v>757</v>
      </c>
      <c r="F166" s="1" t="str">
        <f>IF(COUNTIF(D:D,"="&amp;D166)=1,"Oui","Non")</f>
        <v>Oui</v>
      </c>
      <c r="G166" s="3" t="s">
        <v>743</v>
      </c>
      <c r="H166" s="1" t="s">
        <v>424</v>
      </c>
      <c r="I166" s="1" t="s">
        <v>409</v>
      </c>
      <c r="J166" s="9">
        <v>7</v>
      </c>
      <c r="K166" s="3" t="s">
        <v>388</v>
      </c>
    </row>
    <row r="167" spans="1:11" hidden="1" x14ac:dyDescent="0.25">
      <c r="A167" s="1" t="s">
        <v>162</v>
      </c>
      <c r="B167" s="1" t="s">
        <v>163</v>
      </c>
      <c r="C167" s="1">
        <v>1</v>
      </c>
      <c r="D167" s="1" t="s">
        <v>167</v>
      </c>
      <c r="E167" s="1" t="s">
        <v>576</v>
      </c>
      <c r="F167" s="1" t="str">
        <f>IF(COUNTIF(D:D,"="&amp;D167)=1,"Oui","Non")</f>
        <v>Oui</v>
      </c>
      <c r="G167" s="3" t="s">
        <v>744</v>
      </c>
      <c r="H167" s="1" t="s">
        <v>424</v>
      </c>
      <c r="I167" s="1" t="s">
        <v>387</v>
      </c>
      <c r="J167" s="9" t="s">
        <v>387</v>
      </c>
      <c r="K167" s="3" t="s">
        <v>388</v>
      </c>
    </row>
    <row r="168" spans="1:11" ht="30" hidden="1" x14ac:dyDescent="0.25">
      <c r="A168" s="1" t="s">
        <v>162</v>
      </c>
      <c r="B168" s="1" t="s">
        <v>163</v>
      </c>
      <c r="C168" s="1">
        <v>2</v>
      </c>
      <c r="D168" s="1" t="s">
        <v>47</v>
      </c>
      <c r="E168" s="1" t="s">
        <v>576</v>
      </c>
      <c r="F168" s="1" t="str">
        <f>IF(COUNTIF(D:D,"="&amp;D168)=1,"Oui","Non")</f>
        <v>Non</v>
      </c>
      <c r="G168" s="3" t="s">
        <v>741</v>
      </c>
      <c r="H168" s="1" t="s">
        <v>390</v>
      </c>
      <c r="I168" s="1" t="s">
        <v>387</v>
      </c>
      <c r="J168" s="9" t="s">
        <v>387</v>
      </c>
      <c r="K168" s="3" t="s">
        <v>411</v>
      </c>
    </row>
    <row r="169" spans="1:11" ht="45" hidden="1" x14ac:dyDescent="0.25">
      <c r="A169" s="1" t="s">
        <v>162</v>
      </c>
      <c r="B169" s="1" t="s">
        <v>163</v>
      </c>
      <c r="C169" s="1">
        <v>2</v>
      </c>
      <c r="D169" s="1" t="s">
        <v>168</v>
      </c>
      <c r="E169" s="1" t="s">
        <v>576</v>
      </c>
      <c r="F169" s="1" t="str">
        <f>IF(COUNTIF(D:D,"="&amp;D169)=1,"Oui","Non")</f>
        <v>Oui</v>
      </c>
      <c r="G169" s="3" t="s">
        <v>745</v>
      </c>
      <c r="H169" s="1" t="s">
        <v>424</v>
      </c>
      <c r="I169" s="1" t="s">
        <v>387</v>
      </c>
      <c r="J169" s="9" t="s">
        <v>387</v>
      </c>
      <c r="K169" s="3" t="s">
        <v>746</v>
      </c>
    </row>
    <row r="170" spans="1:11" hidden="1" x14ac:dyDescent="0.25">
      <c r="A170" s="1" t="s">
        <v>162</v>
      </c>
      <c r="B170" s="1" t="s">
        <v>163</v>
      </c>
      <c r="C170" s="1">
        <v>2</v>
      </c>
      <c r="D170" s="1" t="s">
        <v>67</v>
      </c>
      <c r="E170" s="1" t="s">
        <v>427</v>
      </c>
      <c r="F170" s="1" t="str">
        <f>IF(COUNTIF(D:D,"="&amp;D170)=1,"Oui","Non")</f>
        <v>Non</v>
      </c>
      <c r="G170" s="3" t="s">
        <v>429</v>
      </c>
      <c r="H170" s="1" t="s">
        <v>390</v>
      </c>
      <c r="I170" s="1" t="s">
        <v>482</v>
      </c>
      <c r="J170" s="9">
        <v>5</v>
      </c>
      <c r="K170" s="3" t="s">
        <v>430</v>
      </c>
    </row>
    <row r="171" spans="1:11" s="2" customFormat="1" hidden="1" x14ac:dyDescent="0.25">
      <c r="A171" s="2" t="s">
        <v>162</v>
      </c>
      <c r="B171" s="2" t="s">
        <v>163</v>
      </c>
      <c r="C171" s="2">
        <v>2</v>
      </c>
      <c r="D171" s="2" t="s">
        <v>9</v>
      </c>
      <c r="E171" s="2" t="s">
        <v>560</v>
      </c>
      <c r="F171" s="2" t="str">
        <f>IF(COUNTIF(D:D,"="&amp;D171)=1,"Oui","Non")</f>
        <v>Non</v>
      </c>
      <c r="G171" s="4" t="s">
        <v>394</v>
      </c>
      <c r="H171" s="2" t="s">
        <v>390</v>
      </c>
      <c r="I171" s="2" t="s">
        <v>479</v>
      </c>
      <c r="J171" s="10">
        <v>7</v>
      </c>
      <c r="K171" s="4" t="s">
        <v>388</v>
      </c>
    </row>
    <row r="172" spans="1:11" hidden="1" x14ac:dyDescent="0.25">
      <c r="A172" s="1" t="s">
        <v>162</v>
      </c>
      <c r="B172" s="1" t="s">
        <v>163</v>
      </c>
      <c r="C172" s="1">
        <v>2</v>
      </c>
      <c r="D172" s="1" t="s">
        <v>169</v>
      </c>
      <c r="E172" s="1" t="s">
        <v>576</v>
      </c>
      <c r="F172" s="1" t="str">
        <f>IF(COUNTIF(D:D,"="&amp;D172)=1,"Oui","Non")</f>
        <v>Oui</v>
      </c>
      <c r="G172" s="3" t="s">
        <v>747</v>
      </c>
      <c r="H172" s="1" t="s">
        <v>424</v>
      </c>
      <c r="I172" s="1" t="s">
        <v>748</v>
      </c>
      <c r="J172" s="9">
        <v>7</v>
      </c>
      <c r="K172" s="3" t="s">
        <v>388</v>
      </c>
    </row>
    <row r="173" spans="1:11" ht="45" hidden="1" x14ac:dyDescent="0.25">
      <c r="A173" s="1" t="s">
        <v>162</v>
      </c>
      <c r="B173" s="1" t="s">
        <v>163</v>
      </c>
      <c r="C173" s="1">
        <v>3</v>
      </c>
      <c r="D173" s="1" t="s">
        <v>170</v>
      </c>
      <c r="E173" s="1" t="s">
        <v>316</v>
      </c>
      <c r="F173" s="1" t="str">
        <f>IF(COUNTIF(D:D,"="&amp;D173)=1,"Oui","Non")</f>
        <v>Oui</v>
      </c>
      <c r="G173" s="3" t="s">
        <v>749</v>
      </c>
      <c r="H173" s="1" t="s">
        <v>424</v>
      </c>
      <c r="I173" s="1" t="s">
        <v>466</v>
      </c>
      <c r="J173" s="9">
        <v>7</v>
      </c>
      <c r="K173" s="3" t="s">
        <v>388</v>
      </c>
    </row>
    <row r="174" spans="1:11" hidden="1" x14ac:dyDescent="0.25">
      <c r="A174" s="1" t="s">
        <v>162</v>
      </c>
      <c r="B174" s="1" t="s">
        <v>163</v>
      </c>
      <c r="C174" s="1">
        <v>3</v>
      </c>
      <c r="D174" s="1" t="s">
        <v>171</v>
      </c>
      <c r="E174" s="1" t="s">
        <v>576</v>
      </c>
      <c r="F174" s="1" t="str">
        <f>IF(COUNTIF(D:D,"="&amp;D174)=1,"Oui","Non")</f>
        <v>Oui</v>
      </c>
      <c r="G174" s="3" t="s">
        <v>750</v>
      </c>
      <c r="H174" s="1" t="s">
        <v>396</v>
      </c>
      <c r="I174" s="1" t="s">
        <v>522</v>
      </c>
      <c r="J174" s="9">
        <v>6</v>
      </c>
      <c r="K174" s="3" t="s">
        <v>398</v>
      </c>
    </row>
    <row r="175" spans="1:11" hidden="1" x14ac:dyDescent="0.25">
      <c r="A175" s="1" t="s">
        <v>162</v>
      </c>
      <c r="B175" s="1" t="s">
        <v>163</v>
      </c>
      <c r="C175" s="1">
        <v>3</v>
      </c>
      <c r="D175" s="1" t="s">
        <v>172</v>
      </c>
      <c r="E175" s="1" t="s">
        <v>757</v>
      </c>
      <c r="F175" s="1" t="str">
        <f>IF(COUNTIF(D:D,"="&amp;D175)=1,"Oui","Non")</f>
        <v>Oui</v>
      </c>
      <c r="G175" s="3" t="s">
        <v>751</v>
      </c>
      <c r="H175" s="1" t="s">
        <v>424</v>
      </c>
      <c r="I175" s="1" t="s">
        <v>624</v>
      </c>
      <c r="J175" s="9">
        <v>7</v>
      </c>
      <c r="K175" s="3" t="s">
        <v>752</v>
      </c>
    </row>
    <row r="176" spans="1:11" ht="45" hidden="1" x14ac:dyDescent="0.25">
      <c r="A176" s="1" t="s">
        <v>162</v>
      </c>
      <c r="B176" s="1" t="s">
        <v>163</v>
      </c>
      <c r="C176" s="1">
        <v>3</v>
      </c>
      <c r="D176" s="1" t="s">
        <v>754</v>
      </c>
      <c r="E176" s="1" t="s">
        <v>422</v>
      </c>
      <c r="F176" s="1" t="str">
        <f>IF(COUNTIF(D:D,"="&amp;D176)=1,"Oui","Non")</f>
        <v>Non</v>
      </c>
      <c r="G176" s="3" t="s">
        <v>753</v>
      </c>
      <c r="H176" s="1" t="s">
        <v>390</v>
      </c>
      <c r="I176" s="1" t="s">
        <v>485</v>
      </c>
      <c r="J176" s="9">
        <v>6</v>
      </c>
      <c r="K176" s="3" t="s">
        <v>398</v>
      </c>
    </row>
    <row r="177" spans="1:11" ht="30" hidden="1" x14ac:dyDescent="0.25">
      <c r="A177" s="1" t="s">
        <v>162</v>
      </c>
      <c r="B177" s="1" t="s">
        <v>163</v>
      </c>
      <c r="C177" s="1">
        <v>4</v>
      </c>
      <c r="D177" s="1" t="s">
        <v>173</v>
      </c>
      <c r="E177" s="1" t="s">
        <v>757</v>
      </c>
      <c r="F177" s="1" t="str">
        <f>IF(COUNTIF(D:D,"="&amp;D177)=1,"Oui","Non")</f>
        <v>Oui</v>
      </c>
      <c r="G177" s="3" t="s">
        <v>738</v>
      </c>
      <c r="H177" s="1" t="s">
        <v>424</v>
      </c>
      <c r="I177" s="1" t="s">
        <v>739</v>
      </c>
      <c r="J177" s="9" t="s">
        <v>488</v>
      </c>
      <c r="K177" s="3" t="s">
        <v>449</v>
      </c>
    </row>
    <row r="178" spans="1:11" ht="45" hidden="1" x14ac:dyDescent="0.25">
      <c r="A178" s="1" t="s">
        <v>162</v>
      </c>
      <c r="B178" s="1" t="s">
        <v>163</v>
      </c>
      <c r="C178" s="1">
        <v>4</v>
      </c>
      <c r="D178" s="1" t="s">
        <v>174</v>
      </c>
      <c r="E178" s="1" t="s">
        <v>757</v>
      </c>
      <c r="F178" s="1" t="str">
        <f>IF(COUNTIF(D:D,"="&amp;D178)=1,"Oui","Non")</f>
        <v>Oui</v>
      </c>
      <c r="G178" s="3" t="s">
        <v>755</v>
      </c>
      <c r="H178" s="1" t="s">
        <v>424</v>
      </c>
      <c r="I178" s="1" t="s">
        <v>387</v>
      </c>
      <c r="J178" s="9" t="s">
        <v>387</v>
      </c>
      <c r="K178" s="3" t="s">
        <v>756</v>
      </c>
    </row>
    <row r="179" spans="1:11" ht="45" hidden="1" x14ac:dyDescent="0.25">
      <c r="A179" s="1" t="s">
        <v>162</v>
      </c>
      <c r="B179" s="1" t="s">
        <v>163</v>
      </c>
      <c r="C179" s="1">
        <v>4</v>
      </c>
      <c r="D179" s="1" t="s">
        <v>175</v>
      </c>
      <c r="E179" s="1" t="s">
        <v>576</v>
      </c>
      <c r="F179" s="1" t="str">
        <f>IF(COUNTIF(D:D,"="&amp;D179)=1,"Oui","Non")</f>
        <v>Oui</v>
      </c>
      <c r="G179" s="3" t="s">
        <v>758</v>
      </c>
      <c r="H179" s="1" t="s">
        <v>424</v>
      </c>
      <c r="I179" s="1" t="s">
        <v>759</v>
      </c>
      <c r="J179" s="9">
        <v>7</v>
      </c>
      <c r="K179" s="3" t="s">
        <v>760</v>
      </c>
    </row>
    <row r="180" spans="1:11" ht="45" hidden="1" x14ac:dyDescent="0.25">
      <c r="A180" s="1" t="s">
        <v>162</v>
      </c>
      <c r="B180" s="1" t="s">
        <v>163</v>
      </c>
      <c r="C180" s="1">
        <v>4</v>
      </c>
      <c r="D180" s="1" t="s">
        <v>176</v>
      </c>
      <c r="E180" s="1" t="s">
        <v>407</v>
      </c>
      <c r="F180" s="1" t="str">
        <f>IF(COUNTIF(D:D,"="&amp;D180)=1,"Oui","Non")</f>
        <v>Non</v>
      </c>
      <c r="G180" s="3" t="s">
        <v>461</v>
      </c>
      <c r="H180" s="1" t="s">
        <v>424</v>
      </c>
      <c r="I180" s="3" t="s">
        <v>460</v>
      </c>
      <c r="J180" s="11">
        <v>6</v>
      </c>
      <c r="K180" s="3" t="s">
        <v>398</v>
      </c>
    </row>
    <row r="181" spans="1:11" ht="30" hidden="1" x14ac:dyDescent="0.25">
      <c r="A181" s="1" t="s">
        <v>162</v>
      </c>
      <c r="B181" s="1" t="s">
        <v>163</v>
      </c>
      <c r="C181" s="1">
        <v>5</v>
      </c>
      <c r="D181" s="1" t="s">
        <v>177</v>
      </c>
      <c r="E181" s="1" t="s">
        <v>652</v>
      </c>
      <c r="F181" s="1" t="str">
        <f>IF(COUNTIF(D:D,"="&amp;D181)=1,"Oui","Non")</f>
        <v>Oui</v>
      </c>
      <c r="G181" s="3" t="s">
        <v>761</v>
      </c>
      <c r="H181" s="1" t="s">
        <v>390</v>
      </c>
      <c r="I181" s="1" t="s">
        <v>387</v>
      </c>
      <c r="J181" s="9" t="s">
        <v>387</v>
      </c>
      <c r="K181" s="3" t="s">
        <v>411</v>
      </c>
    </row>
    <row r="182" spans="1:11" ht="30" hidden="1" x14ac:dyDescent="0.25">
      <c r="A182" s="1" t="s">
        <v>162</v>
      </c>
      <c r="B182" s="1" t="s">
        <v>163</v>
      </c>
      <c r="C182" s="1">
        <v>5</v>
      </c>
      <c r="D182" s="1" t="s">
        <v>178</v>
      </c>
      <c r="E182" s="1" t="s">
        <v>422</v>
      </c>
      <c r="F182" s="1" t="str">
        <f>IF(COUNTIF(D:D,"="&amp;D182)=1,"Oui","Non")</f>
        <v>Oui</v>
      </c>
      <c r="G182" s="3" t="s">
        <v>762</v>
      </c>
      <c r="H182" s="1" t="s">
        <v>424</v>
      </c>
      <c r="I182" s="1" t="s">
        <v>763</v>
      </c>
      <c r="J182" s="9" t="s">
        <v>475</v>
      </c>
      <c r="K182" s="3" t="s">
        <v>398</v>
      </c>
    </row>
    <row r="183" spans="1:11" ht="30" hidden="1" x14ac:dyDescent="0.25">
      <c r="A183" s="1" t="s">
        <v>162</v>
      </c>
      <c r="B183" s="1" t="s">
        <v>179</v>
      </c>
      <c r="C183" s="1">
        <v>1</v>
      </c>
      <c r="D183" s="1" t="s">
        <v>180</v>
      </c>
      <c r="E183" s="1" t="s">
        <v>496</v>
      </c>
      <c r="F183" s="1" t="str">
        <f>IF(COUNTIF(D:D,"="&amp;D183)=1,"Oui","Non")</f>
        <v>Oui</v>
      </c>
      <c r="G183" s="3" t="s">
        <v>765</v>
      </c>
      <c r="H183" s="1" t="s">
        <v>766</v>
      </c>
      <c r="I183" s="1" t="s">
        <v>387</v>
      </c>
      <c r="J183" s="9" t="s">
        <v>387</v>
      </c>
      <c r="K183" s="3" t="s">
        <v>398</v>
      </c>
    </row>
    <row r="184" spans="1:11" ht="30" hidden="1" x14ac:dyDescent="0.25">
      <c r="A184" s="1" t="s">
        <v>162</v>
      </c>
      <c r="B184" s="1" t="s">
        <v>179</v>
      </c>
      <c r="C184" s="1">
        <v>1</v>
      </c>
      <c r="D184" s="1" t="s">
        <v>181</v>
      </c>
      <c r="E184" s="1" t="s">
        <v>770</v>
      </c>
      <c r="F184" s="1" t="str">
        <f>IF(COUNTIF(D:D,"="&amp;D184)=1,"Oui","Non")</f>
        <v>Oui</v>
      </c>
      <c r="G184" s="3" t="s">
        <v>771</v>
      </c>
      <c r="H184" s="1" t="s">
        <v>390</v>
      </c>
      <c r="I184" s="1" t="s">
        <v>387</v>
      </c>
      <c r="J184" s="9" t="s">
        <v>387</v>
      </c>
      <c r="K184" s="3" t="s">
        <v>411</v>
      </c>
    </row>
    <row r="185" spans="1:11" hidden="1" x14ac:dyDescent="0.25">
      <c r="A185" s="1" t="s">
        <v>162</v>
      </c>
      <c r="B185" s="1" t="s">
        <v>179</v>
      </c>
      <c r="C185" s="1">
        <v>1</v>
      </c>
      <c r="D185" s="1" t="s">
        <v>144</v>
      </c>
      <c r="E185" s="1" t="s">
        <v>783</v>
      </c>
      <c r="F185" s="1" t="str">
        <f>IF(COUNTIF(D:D,"="&amp;D185)=1,"Oui","Non")</f>
        <v>Non</v>
      </c>
      <c r="G185" s="3" t="s">
        <v>456</v>
      </c>
      <c r="H185" s="1" t="s">
        <v>390</v>
      </c>
      <c r="I185" s="1" t="s">
        <v>488</v>
      </c>
      <c r="J185" s="9" t="s">
        <v>475</v>
      </c>
      <c r="K185" s="3" t="s">
        <v>398</v>
      </c>
    </row>
    <row r="186" spans="1:11" ht="30" hidden="1" x14ac:dyDescent="0.25">
      <c r="A186" s="1" t="s">
        <v>162</v>
      </c>
      <c r="B186" s="1" t="s">
        <v>179</v>
      </c>
      <c r="C186" s="1">
        <v>1</v>
      </c>
      <c r="D186" s="1" t="s">
        <v>182</v>
      </c>
      <c r="E186" s="1" t="s">
        <v>488</v>
      </c>
      <c r="F186" s="1" t="str">
        <f>IF(COUNTIF(D:D,"="&amp;D186)=1,"Oui","Non")</f>
        <v>Oui</v>
      </c>
      <c r="G186" s="3" t="s">
        <v>772</v>
      </c>
      <c r="H186" s="1" t="s">
        <v>390</v>
      </c>
      <c r="I186" s="1" t="s">
        <v>387</v>
      </c>
      <c r="J186" s="9" t="s">
        <v>387</v>
      </c>
      <c r="K186" s="3" t="s">
        <v>411</v>
      </c>
    </row>
    <row r="187" spans="1:11" ht="30" hidden="1" x14ac:dyDescent="0.25">
      <c r="A187" s="1" t="s">
        <v>162</v>
      </c>
      <c r="B187" s="1" t="s">
        <v>179</v>
      </c>
      <c r="C187" s="1">
        <v>1</v>
      </c>
      <c r="D187" s="1" t="s">
        <v>87</v>
      </c>
      <c r="E187" s="1" t="s">
        <v>412</v>
      </c>
      <c r="F187" s="1" t="str">
        <f>IF(COUNTIF(D:D,"="&amp;D187)=1,"Oui","Non")</f>
        <v>Non</v>
      </c>
      <c r="G187" s="3" t="s">
        <v>408</v>
      </c>
      <c r="H187" s="1" t="s">
        <v>390</v>
      </c>
      <c r="I187" s="1" t="s">
        <v>409</v>
      </c>
      <c r="J187" s="9" t="s">
        <v>475</v>
      </c>
      <c r="K187" s="3" t="s">
        <v>398</v>
      </c>
    </row>
    <row r="188" spans="1:11" hidden="1" x14ac:dyDescent="0.25">
      <c r="A188" s="1" t="s">
        <v>162</v>
      </c>
      <c r="B188" s="1" t="s">
        <v>179</v>
      </c>
      <c r="C188" s="1">
        <v>2</v>
      </c>
      <c r="D188" s="1" t="s">
        <v>183</v>
      </c>
      <c r="E188" s="1" t="s">
        <v>488</v>
      </c>
      <c r="F188" s="1" t="str">
        <f>IF(COUNTIF(D:D,"="&amp;D188)=1,"Oui","Non")</f>
        <v>Oui</v>
      </c>
      <c r="G188" s="3" t="s">
        <v>773</v>
      </c>
      <c r="H188" s="1" t="s">
        <v>390</v>
      </c>
      <c r="I188" s="1" t="s">
        <v>622</v>
      </c>
      <c r="J188" s="9">
        <v>8</v>
      </c>
      <c r="K188" s="3" t="s">
        <v>774</v>
      </c>
    </row>
    <row r="189" spans="1:11" ht="30" hidden="1" x14ac:dyDescent="0.25">
      <c r="A189" s="1" t="s">
        <v>162</v>
      </c>
      <c r="B189" s="1" t="s">
        <v>179</v>
      </c>
      <c r="C189" s="1">
        <v>2</v>
      </c>
      <c r="D189" s="1" t="s">
        <v>184</v>
      </c>
      <c r="E189" s="1" t="s">
        <v>652</v>
      </c>
      <c r="F189" s="1" t="str">
        <f>IF(COUNTIF(D:D,"="&amp;D189)=1,"Oui","Non")</f>
        <v>Oui</v>
      </c>
      <c r="G189" s="3" t="s">
        <v>775</v>
      </c>
      <c r="H189" s="1" t="s">
        <v>390</v>
      </c>
      <c r="I189" s="1" t="s">
        <v>387</v>
      </c>
      <c r="J189" s="9" t="s">
        <v>387</v>
      </c>
      <c r="K189" s="3" t="s">
        <v>411</v>
      </c>
    </row>
    <row r="190" spans="1:11" ht="30" hidden="1" x14ac:dyDescent="0.25">
      <c r="A190" s="1" t="s">
        <v>162</v>
      </c>
      <c r="B190" s="1" t="s">
        <v>179</v>
      </c>
      <c r="C190" s="1">
        <v>2</v>
      </c>
      <c r="D190" s="1" t="s">
        <v>185</v>
      </c>
      <c r="E190" s="1" t="s">
        <v>488</v>
      </c>
      <c r="F190" s="1" t="str">
        <f>IF(COUNTIF(D:D,"="&amp;D190)=1,"Oui","Non")</f>
        <v>Oui</v>
      </c>
      <c r="G190" s="3" t="s">
        <v>776</v>
      </c>
      <c r="H190" s="1" t="s">
        <v>424</v>
      </c>
      <c r="I190" s="1" t="s">
        <v>777</v>
      </c>
      <c r="J190" s="9">
        <v>6</v>
      </c>
      <c r="K190" s="3" t="s">
        <v>388</v>
      </c>
    </row>
    <row r="191" spans="1:11" hidden="1" x14ac:dyDescent="0.25">
      <c r="A191" s="1" t="s">
        <v>162</v>
      </c>
      <c r="B191" s="1" t="s">
        <v>179</v>
      </c>
      <c r="C191" s="1">
        <v>2</v>
      </c>
      <c r="D191" s="1" t="s">
        <v>186</v>
      </c>
      <c r="E191" s="1" t="s">
        <v>576</v>
      </c>
      <c r="F191" s="1" t="str">
        <f>IF(COUNTIF(D:D,"="&amp;D191)=1,"Oui","Non")</f>
        <v>Oui</v>
      </c>
      <c r="G191" s="3" t="s">
        <v>778</v>
      </c>
      <c r="H191" s="1" t="s">
        <v>390</v>
      </c>
      <c r="I191" s="1" t="s">
        <v>420</v>
      </c>
      <c r="J191" s="9">
        <v>6</v>
      </c>
      <c r="K191" s="3" t="s">
        <v>388</v>
      </c>
    </row>
    <row r="192" spans="1:11" ht="30" hidden="1" x14ac:dyDescent="0.25">
      <c r="A192" s="1" t="s">
        <v>162</v>
      </c>
      <c r="B192" s="1" t="s">
        <v>179</v>
      </c>
      <c r="C192" s="1">
        <v>2</v>
      </c>
      <c r="D192" s="1" t="s">
        <v>187</v>
      </c>
      <c r="E192" s="1" t="s">
        <v>399</v>
      </c>
      <c r="F192" s="1" t="str">
        <f>IF(COUNTIF(D:D,"="&amp;D192)=1,"Oui","Non")</f>
        <v>Oui</v>
      </c>
      <c r="G192" s="3" t="s">
        <v>779</v>
      </c>
      <c r="H192" s="1" t="s">
        <v>390</v>
      </c>
      <c r="I192" s="1" t="s">
        <v>780</v>
      </c>
      <c r="J192" s="9">
        <v>7</v>
      </c>
      <c r="K192" s="3" t="s">
        <v>781</v>
      </c>
    </row>
    <row r="193" spans="1:11" ht="30" hidden="1" x14ac:dyDescent="0.25">
      <c r="A193" s="1" t="s">
        <v>162</v>
      </c>
      <c r="B193" s="1" t="s">
        <v>179</v>
      </c>
      <c r="C193" s="1">
        <v>3</v>
      </c>
      <c r="D193" s="1" t="s">
        <v>188</v>
      </c>
      <c r="E193" s="1" t="s">
        <v>412</v>
      </c>
      <c r="F193" s="1" t="str">
        <f>IF(COUNTIF(D:D,"="&amp;D193)=1,"Oui","Non")</f>
        <v>Oui</v>
      </c>
      <c r="G193" s="3" t="s">
        <v>782</v>
      </c>
      <c r="H193" s="1" t="s">
        <v>390</v>
      </c>
      <c r="I193" s="1" t="s">
        <v>485</v>
      </c>
      <c r="J193" s="9">
        <v>7</v>
      </c>
      <c r="K193" s="3" t="s">
        <v>398</v>
      </c>
    </row>
    <row r="194" spans="1:11" ht="60" hidden="1" x14ac:dyDescent="0.25">
      <c r="A194" s="1" t="s">
        <v>162</v>
      </c>
      <c r="B194" s="1" t="s">
        <v>179</v>
      </c>
      <c r="C194" s="1">
        <v>3</v>
      </c>
      <c r="D194" s="1" t="s">
        <v>189</v>
      </c>
      <c r="E194" s="1" t="s">
        <v>783</v>
      </c>
      <c r="F194" s="1" t="str">
        <f>IF(COUNTIF(D:D,"="&amp;D194)=1,"Oui","Non")</f>
        <v>Oui</v>
      </c>
      <c r="G194" s="3" t="s">
        <v>784</v>
      </c>
      <c r="H194" s="1" t="s">
        <v>424</v>
      </c>
      <c r="I194" s="1" t="s">
        <v>387</v>
      </c>
      <c r="J194" s="9" t="s">
        <v>387</v>
      </c>
      <c r="K194" s="3" t="s">
        <v>388</v>
      </c>
    </row>
    <row r="195" spans="1:11" ht="45" hidden="1" x14ac:dyDescent="0.25">
      <c r="A195" s="1" t="s">
        <v>162</v>
      </c>
      <c r="B195" s="1" t="s">
        <v>179</v>
      </c>
      <c r="C195" s="1">
        <v>3</v>
      </c>
      <c r="D195" s="1" t="s">
        <v>190</v>
      </c>
      <c r="E195" s="1" t="s">
        <v>783</v>
      </c>
      <c r="F195" s="1" t="str">
        <f>IF(COUNTIF(D:D,"="&amp;D195)=1,"Oui","Non")</f>
        <v>Oui</v>
      </c>
      <c r="G195" s="3" t="s">
        <v>785</v>
      </c>
      <c r="H195" s="1" t="s">
        <v>396</v>
      </c>
      <c r="I195" s="1" t="s">
        <v>420</v>
      </c>
      <c r="J195" s="9" t="s">
        <v>790</v>
      </c>
      <c r="K195" s="3" t="s">
        <v>398</v>
      </c>
    </row>
    <row r="196" spans="1:11" ht="30" hidden="1" x14ac:dyDescent="0.25">
      <c r="A196" s="1" t="s">
        <v>162</v>
      </c>
      <c r="B196" s="1" t="s">
        <v>179</v>
      </c>
      <c r="C196" s="1">
        <v>3</v>
      </c>
      <c r="D196" s="1" t="s">
        <v>115</v>
      </c>
      <c r="E196" s="1" t="s">
        <v>412</v>
      </c>
      <c r="F196" s="1" t="str">
        <f>IF(COUNTIF(D:D,"="&amp;D196)=1,"Oui","Non")</f>
        <v>Non</v>
      </c>
      <c r="G196" s="3" t="s">
        <v>443</v>
      </c>
      <c r="H196" s="1" t="s">
        <v>424</v>
      </c>
      <c r="I196" s="1" t="s">
        <v>485</v>
      </c>
      <c r="J196" s="9">
        <v>8</v>
      </c>
      <c r="K196" s="3" t="s">
        <v>398</v>
      </c>
    </row>
    <row r="197" spans="1:11" hidden="1" x14ac:dyDescent="0.25">
      <c r="A197" s="1" t="s">
        <v>162</v>
      </c>
      <c r="B197" s="1" t="s">
        <v>179</v>
      </c>
      <c r="C197" s="1">
        <v>4</v>
      </c>
      <c r="D197" s="1" t="s">
        <v>191</v>
      </c>
      <c r="E197" s="1" t="s">
        <v>389</v>
      </c>
      <c r="F197" s="1" t="str">
        <f>IF(COUNTIF(D:D,"="&amp;D197)=1,"Oui","Non")</f>
        <v>Non</v>
      </c>
      <c r="G197" s="3" t="s">
        <v>462</v>
      </c>
      <c r="H197" s="1" t="s">
        <v>390</v>
      </c>
      <c r="I197" s="1" t="s">
        <v>387</v>
      </c>
      <c r="J197" s="9" t="s">
        <v>387</v>
      </c>
      <c r="K197" s="3" t="s">
        <v>411</v>
      </c>
    </row>
    <row r="198" spans="1:11" ht="30" hidden="1" x14ac:dyDescent="0.25">
      <c r="A198" s="1" t="s">
        <v>162</v>
      </c>
      <c r="B198" s="1" t="s">
        <v>179</v>
      </c>
      <c r="C198" s="1">
        <v>4</v>
      </c>
      <c r="D198" s="1" t="s">
        <v>192</v>
      </c>
      <c r="E198" s="1" t="s">
        <v>783</v>
      </c>
      <c r="F198" s="1" t="str">
        <f>IF(COUNTIF(D:D,"="&amp;D198)=1,"Oui","Non")</f>
        <v>Non</v>
      </c>
      <c r="G198" s="3" t="s">
        <v>463</v>
      </c>
      <c r="H198" s="1" t="s">
        <v>396</v>
      </c>
      <c r="I198" s="1" t="s">
        <v>489</v>
      </c>
      <c r="J198" s="9" t="s">
        <v>475</v>
      </c>
      <c r="K198" s="3" t="s">
        <v>464</v>
      </c>
    </row>
    <row r="199" spans="1:11" ht="30" hidden="1" x14ac:dyDescent="0.25">
      <c r="A199" s="1" t="s">
        <v>162</v>
      </c>
      <c r="B199" s="1" t="s">
        <v>179</v>
      </c>
      <c r="C199" s="1">
        <v>4</v>
      </c>
      <c r="D199" s="1" t="s">
        <v>193</v>
      </c>
      <c r="E199" s="1" t="s">
        <v>783</v>
      </c>
      <c r="F199" s="1" t="str">
        <f>IF(COUNTIF(D:D,"="&amp;D199)=1,"Oui","Non")</f>
        <v>Oui</v>
      </c>
      <c r="G199" s="3" t="s">
        <v>786</v>
      </c>
      <c r="H199" s="1" t="s">
        <v>424</v>
      </c>
      <c r="I199" s="1" t="s">
        <v>787</v>
      </c>
      <c r="J199" s="9">
        <v>7</v>
      </c>
      <c r="K199" s="3" t="s">
        <v>388</v>
      </c>
    </row>
    <row r="200" spans="1:11" ht="30" hidden="1" x14ac:dyDescent="0.25">
      <c r="A200" s="1" t="s">
        <v>162</v>
      </c>
      <c r="B200" s="1" t="s">
        <v>179</v>
      </c>
      <c r="C200" s="1">
        <v>5</v>
      </c>
      <c r="D200" s="1" t="s">
        <v>194</v>
      </c>
      <c r="E200" s="1" t="s">
        <v>783</v>
      </c>
      <c r="F200" s="1" t="str">
        <f>IF(COUNTIF(D:D,"="&amp;D200)=1,"Oui","Non")</f>
        <v>Oui</v>
      </c>
      <c r="G200" s="3" t="s">
        <v>788</v>
      </c>
      <c r="H200" s="1" t="s">
        <v>396</v>
      </c>
      <c r="I200" s="1" t="s">
        <v>489</v>
      </c>
      <c r="J200" s="9" t="s">
        <v>789</v>
      </c>
      <c r="K200" s="3" t="s">
        <v>791</v>
      </c>
    </row>
    <row r="201" spans="1:11" ht="60" hidden="1" x14ac:dyDescent="0.25">
      <c r="A201" s="1" t="s">
        <v>162</v>
      </c>
      <c r="B201" s="1" t="s">
        <v>179</v>
      </c>
      <c r="C201" s="1">
        <v>5</v>
      </c>
      <c r="D201" s="1" t="s">
        <v>195</v>
      </c>
      <c r="E201" s="1" t="s">
        <v>488</v>
      </c>
      <c r="F201" s="1" t="str">
        <f>IF(COUNTIF(D:D,"="&amp;D201)=1,"Oui","Non")</f>
        <v>Oui</v>
      </c>
      <c r="G201" s="3" t="s">
        <v>792</v>
      </c>
      <c r="H201" s="1" t="s">
        <v>424</v>
      </c>
      <c r="I201" s="1" t="s">
        <v>793</v>
      </c>
      <c r="J201" s="9">
        <v>7</v>
      </c>
      <c r="K201" s="3" t="s">
        <v>794</v>
      </c>
    </row>
    <row r="202" spans="1:11" s="2" customFormat="1" ht="45" hidden="1" x14ac:dyDescent="0.25">
      <c r="A202" s="2" t="s">
        <v>162</v>
      </c>
      <c r="B202" s="2" t="s">
        <v>179</v>
      </c>
      <c r="C202" s="2">
        <v>5</v>
      </c>
      <c r="D202" s="2" t="s">
        <v>196</v>
      </c>
      <c r="E202" s="2" t="s">
        <v>422</v>
      </c>
      <c r="F202" s="2" t="str">
        <f>IF(COUNTIF(D:D,"="&amp;D202)=1,"Oui","Non")</f>
        <v>Oui</v>
      </c>
      <c r="G202" s="4" t="s">
        <v>795</v>
      </c>
      <c r="H202" s="2" t="s">
        <v>424</v>
      </c>
      <c r="I202" s="2" t="s">
        <v>387</v>
      </c>
      <c r="J202" s="10" t="s">
        <v>387</v>
      </c>
      <c r="K202" s="4" t="s">
        <v>796</v>
      </c>
    </row>
    <row r="203" spans="1:11" ht="30" hidden="1" x14ac:dyDescent="0.25">
      <c r="A203" s="1" t="s">
        <v>162</v>
      </c>
      <c r="B203" s="1" t="s">
        <v>197</v>
      </c>
      <c r="C203" s="1">
        <v>1</v>
      </c>
      <c r="D203" s="1" t="s">
        <v>198</v>
      </c>
      <c r="E203" s="1" t="s">
        <v>797</v>
      </c>
      <c r="F203" s="1" t="str">
        <f>IF(COUNTIF(D:D,"="&amp;D203)=1,"Oui","Non")</f>
        <v>Oui</v>
      </c>
      <c r="G203" s="3" t="s">
        <v>798</v>
      </c>
      <c r="H203" s="1" t="s">
        <v>396</v>
      </c>
      <c r="I203" s="1" t="s">
        <v>387</v>
      </c>
      <c r="J203" s="9" t="s">
        <v>387</v>
      </c>
      <c r="K203" s="3" t="s">
        <v>388</v>
      </c>
    </row>
    <row r="204" spans="1:11" hidden="1" x14ac:dyDescent="0.25">
      <c r="A204" s="1" t="s">
        <v>162</v>
      </c>
      <c r="B204" s="1" t="s">
        <v>197</v>
      </c>
      <c r="C204" s="1">
        <v>1</v>
      </c>
      <c r="D204" s="1" t="s">
        <v>143</v>
      </c>
      <c r="E204" s="1" t="s">
        <v>797</v>
      </c>
      <c r="F204" s="1" t="str">
        <f>IF(COUNTIF(D:D,"="&amp;D204)=1,"Oui","Non")</f>
        <v>Non</v>
      </c>
      <c r="G204" s="3" t="s">
        <v>455</v>
      </c>
      <c r="H204" s="1" t="s">
        <v>424</v>
      </c>
      <c r="I204" s="1" t="s">
        <v>387</v>
      </c>
      <c r="J204" s="9" t="s">
        <v>387</v>
      </c>
      <c r="K204" s="3" t="s">
        <v>388</v>
      </c>
    </row>
    <row r="205" spans="1:11" hidden="1" x14ac:dyDescent="0.25">
      <c r="A205" s="1" t="s">
        <v>162</v>
      </c>
      <c r="B205" s="1" t="s">
        <v>197</v>
      </c>
      <c r="C205" s="1">
        <v>1</v>
      </c>
      <c r="D205" s="1" t="s">
        <v>199</v>
      </c>
      <c r="E205" s="1" t="s">
        <v>305</v>
      </c>
      <c r="F205" s="1" t="str">
        <f>IF(COUNTIF(D:D,"="&amp;D205)=1,"Oui","Non")</f>
        <v>Oui</v>
      </c>
      <c r="G205" s="3" t="s">
        <v>799</v>
      </c>
      <c r="H205" s="1" t="s">
        <v>424</v>
      </c>
      <c r="I205" s="1" t="s">
        <v>387</v>
      </c>
      <c r="J205" s="9" t="s">
        <v>387</v>
      </c>
      <c r="K205" s="3" t="s">
        <v>388</v>
      </c>
    </row>
    <row r="206" spans="1:11" ht="30" hidden="1" x14ac:dyDescent="0.25">
      <c r="A206" s="1" t="s">
        <v>162</v>
      </c>
      <c r="B206" s="1" t="s">
        <v>197</v>
      </c>
      <c r="C206" s="1">
        <v>1</v>
      </c>
      <c r="D206" s="1" t="s">
        <v>200</v>
      </c>
      <c r="E206" s="1" t="s">
        <v>422</v>
      </c>
      <c r="F206" s="1" t="str">
        <f>IF(COUNTIF(D:D,"="&amp;D206)=1,"Oui","Non")</f>
        <v>Oui</v>
      </c>
      <c r="G206" s="3" t="s">
        <v>800</v>
      </c>
      <c r="H206" s="1" t="s">
        <v>454</v>
      </c>
      <c r="I206" s="1" t="s">
        <v>387</v>
      </c>
      <c r="J206" s="9" t="s">
        <v>387</v>
      </c>
      <c r="K206" s="3" t="s">
        <v>388</v>
      </c>
    </row>
    <row r="207" spans="1:11" ht="30" hidden="1" x14ac:dyDescent="0.25">
      <c r="A207" s="1" t="s">
        <v>162</v>
      </c>
      <c r="B207" s="1" t="s">
        <v>197</v>
      </c>
      <c r="C207" s="1">
        <v>1</v>
      </c>
      <c r="D207" s="1" t="s">
        <v>87</v>
      </c>
      <c r="E207" s="1" t="s">
        <v>412</v>
      </c>
      <c r="F207" s="1" t="str">
        <f>IF(COUNTIF(D:D,"="&amp;D207)=1,"Oui","Non")</f>
        <v>Non</v>
      </c>
      <c r="G207" s="3" t="s">
        <v>408</v>
      </c>
      <c r="H207" s="1" t="s">
        <v>390</v>
      </c>
      <c r="I207" s="1" t="s">
        <v>409</v>
      </c>
      <c r="J207" s="9" t="s">
        <v>475</v>
      </c>
      <c r="K207" s="3" t="s">
        <v>398</v>
      </c>
    </row>
    <row r="208" spans="1:11" hidden="1" x14ac:dyDescent="0.25">
      <c r="A208" s="1" t="s">
        <v>162</v>
      </c>
      <c r="B208" s="1" t="s">
        <v>197</v>
      </c>
      <c r="C208" s="1">
        <v>2</v>
      </c>
      <c r="D208" s="1" t="s">
        <v>201</v>
      </c>
      <c r="E208" s="1" t="s">
        <v>389</v>
      </c>
      <c r="F208" s="1" t="str">
        <f>IF(COUNTIF(D:D,"="&amp;D208)=1,"Oui","Non")</f>
        <v>Non</v>
      </c>
      <c r="G208" s="3" t="s">
        <v>465</v>
      </c>
      <c r="H208" s="1" t="s">
        <v>424</v>
      </c>
      <c r="I208" s="1" t="s">
        <v>466</v>
      </c>
      <c r="J208" s="9">
        <v>6</v>
      </c>
      <c r="K208" s="3" t="s">
        <v>388</v>
      </c>
    </row>
    <row r="209" spans="1:11" ht="30" hidden="1" x14ac:dyDescent="0.25">
      <c r="A209" s="1" t="s">
        <v>162</v>
      </c>
      <c r="B209" s="1" t="s">
        <v>197</v>
      </c>
      <c r="C209" s="1">
        <v>2</v>
      </c>
      <c r="D209" s="1" t="s">
        <v>202</v>
      </c>
      <c r="E209" s="1" t="s">
        <v>804</v>
      </c>
      <c r="F209" s="1" t="str">
        <f>IF(COUNTIF(D:D,"="&amp;D209)=1,"Oui","Non")</f>
        <v>Oui</v>
      </c>
      <c r="G209" s="3" t="s">
        <v>801</v>
      </c>
      <c r="H209" s="1" t="s">
        <v>424</v>
      </c>
      <c r="I209" s="1" t="s">
        <v>484</v>
      </c>
      <c r="J209" s="9">
        <v>4</v>
      </c>
      <c r="K209" s="3" t="s">
        <v>398</v>
      </c>
    </row>
    <row r="210" spans="1:11" hidden="1" x14ac:dyDescent="0.25">
      <c r="A210" s="1" t="s">
        <v>162</v>
      </c>
      <c r="B210" s="1" t="s">
        <v>197</v>
      </c>
      <c r="C210" s="1">
        <v>2</v>
      </c>
      <c r="D210" s="1" t="s">
        <v>203</v>
      </c>
      <c r="E210" s="1" t="s">
        <v>402</v>
      </c>
      <c r="F210" s="1" t="str">
        <f>IF(COUNTIF(D:D,"="&amp;D210)=1,"Oui","Non")</f>
        <v>Oui</v>
      </c>
      <c r="G210" s="3" t="s">
        <v>803</v>
      </c>
      <c r="H210" s="1" t="s">
        <v>454</v>
      </c>
      <c r="I210" s="1" t="s">
        <v>387</v>
      </c>
      <c r="J210" s="9" t="s">
        <v>387</v>
      </c>
      <c r="K210" s="3" t="s">
        <v>388</v>
      </c>
    </row>
    <row r="211" spans="1:11" hidden="1" x14ac:dyDescent="0.25">
      <c r="A211" s="1" t="s">
        <v>162</v>
      </c>
      <c r="B211" s="1" t="s">
        <v>197</v>
      </c>
      <c r="C211" s="1">
        <v>2</v>
      </c>
      <c r="D211" s="1" t="s">
        <v>29</v>
      </c>
      <c r="E211" s="1" t="s">
        <v>412</v>
      </c>
      <c r="F211" s="1" t="str">
        <f>IF(COUNTIF(D:D,"="&amp;D211)=1,"Oui","Non")</f>
        <v>Non</v>
      </c>
      <c r="G211" s="3" t="s">
        <v>413</v>
      </c>
      <c r="H211" s="1" t="s">
        <v>390</v>
      </c>
      <c r="I211" s="1" t="s">
        <v>414</v>
      </c>
      <c r="J211" s="9">
        <v>7</v>
      </c>
      <c r="K211" s="3" t="s">
        <v>398</v>
      </c>
    </row>
    <row r="212" spans="1:11" ht="30" hidden="1" x14ac:dyDescent="0.25">
      <c r="A212" s="1" t="s">
        <v>162</v>
      </c>
      <c r="B212" s="1" t="s">
        <v>197</v>
      </c>
      <c r="C212" s="1">
        <v>2</v>
      </c>
      <c r="D212" s="1" t="s">
        <v>204</v>
      </c>
      <c r="E212" s="1" t="s">
        <v>804</v>
      </c>
      <c r="F212" s="1" t="str">
        <f>IF(COUNTIF(D:D,"="&amp;D212)=1,"Oui","Non")</f>
        <v>Oui</v>
      </c>
      <c r="G212" s="3" t="s">
        <v>805</v>
      </c>
      <c r="H212" s="1" t="s">
        <v>390</v>
      </c>
      <c r="I212" s="1" t="s">
        <v>387</v>
      </c>
      <c r="J212" s="9" t="s">
        <v>387</v>
      </c>
      <c r="K212" s="3" t="s">
        <v>411</v>
      </c>
    </row>
    <row r="213" spans="1:11" ht="30" hidden="1" x14ac:dyDescent="0.25">
      <c r="A213" s="1" t="s">
        <v>162</v>
      </c>
      <c r="B213" s="1" t="s">
        <v>197</v>
      </c>
      <c r="C213" s="1">
        <v>3</v>
      </c>
      <c r="D213" s="1" t="s">
        <v>205</v>
      </c>
      <c r="E213" s="1" t="s">
        <v>797</v>
      </c>
      <c r="F213" s="1" t="str">
        <f>IF(COUNTIF(D:D,"="&amp;D213)=1,"Oui","Non")</f>
        <v>Oui</v>
      </c>
      <c r="G213" s="3" t="s">
        <v>806</v>
      </c>
      <c r="H213" s="1" t="s">
        <v>424</v>
      </c>
      <c r="I213" s="1" t="s">
        <v>499</v>
      </c>
      <c r="J213" s="9">
        <v>7</v>
      </c>
      <c r="K213" s="3" t="s">
        <v>388</v>
      </c>
    </row>
    <row r="214" spans="1:11" hidden="1" x14ac:dyDescent="0.25">
      <c r="A214" s="1" t="s">
        <v>162</v>
      </c>
      <c r="B214" s="1" t="s">
        <v>197</v>
      </c>
      <c r="C214" s="1">
        <v>3</v>
      </c>
      <c r="D214" s="1" t="s">
        <v>150</v>
      </c>
      <c r="E214" s="1" t="s">
        <v>452</v>
      </c>
      <c r="F214" s="1" t="str">
        <f>IF(COUNTIF(D:D,"="&amp;D214)=1,"Oui","Non")</f>
        <v>Non</v>
      </c>
      <c r="G214" s="3" t="s">
        <v>459</v>
      </c>
      <c r="H214" s="1" t="s">
        <v>390</v>
      </c>
      <c r="I214" s="1" t="s">
        <v>441</v>
      </c>
      <c r="J214" s="9">
        <v>7</v>
      </c>
      <c r="K214" s="3" t="s">
        <v>388</v>
      </c>
    </row>
    <row r="215" spans="1:11" hidden="1" x14ac:dyDescent="0.25">
      <c r="A215" s="1" t="s">
        <v>162</v>
      </c>
      <c r="B215" s="1" t="s">
        <v>197</v>
      </c>
      <c r="C215" s="1">
        <v>3</v>
      </c>
      <c r="D215" s="1" t="s">
        <v>206</v>
      </c>
      <c r="E215" s="1" t="s">
        <v>802</v>
      </c>
      <c r="F215" s="1" t="str">
        <f>IF(COUNTIF(D:D,"="&amp;D215)=1,"Oui","Non")</f>
        <v>Oui</v>
      </c>
      <c r="G215" s="3" t="s">
        <v>807</v>
      </c>
      <c r="H215" s="1" t="s">
        <v>390</v>
      </c>
      <c r="I215" s="1" t="s">
        <v>441</v>
      </c>
      <c r="J215" s="9">
        <v>7</v>
      </c>
      <c r="K215" s="3" t="s">
        <v>449</v>
      </c>
    </row>
    <row r="216" spans="1:11" ht="30" hidden="1" x14ac:dyDescent="0.25">
      <c r="A216" s="1" t="s">
        <v>162</v>
      </c>
      <c r="B216" s="1" t="s">
        <v>197</v>
      </c>
      <c r="C216" s="1">
        <v>3</v>
      </c>
      <c r="D216" s="1" t="s">
        <v>207</v>
      </c>
      <c r="E216" s="1" t="s">
        <v>452</v>
      </c>
      <c r="F216" s="1" t="str">
        <f>IF(COUNTIF(D:D,"="&amp;D216)=1,"Oui","Non")</f>
        <v>Oui</v>
      </c>
      <c r="G216" s="3" t="s">
        <v>808</v>
      </c>
      <c r="H216" s="1" t="s">
        <v>424</v>
      </c>
      <c r="I216" s="1" t="s">
        <v>387</v>
      </c>
      <c r="J216" s="9" t="s">
        <v>387</v>
      </c>
      <c r="K216" s="3" t="s">
        <v>388</v>
      </c>
    </row>
    <row r="217" spans="1:11" hidden="1" x14ac:dyDescent="0.25">
      <c r="A217" s="1" t="s">
        <v>162</v>
      </c>
      <c r="B217" s="1" t="s">
        <v>197</v>
      </c>
      <c r="C217" s="1">
        <v>4</v>
      </c>
      <c r="D217" s="1" t="s">
        <v>191</v>
      </c>
      <c r="E217" s="1" t="s">
        <v>389</v>
      </c>
      <c r="F217" s="1" t="str">
        <f>IF(COUNTIF(D:D,"="&amp;D217)=1,"Oui","Non")</f>
        <v>Non</v>
      </c>
      <c r="G217" s="3" t="s">
        <v>462</v>
      </c>
      <c r="H217" s="1" t="s">
        <v>390</v>
      </c>
      <c r="I217" s="1" t="s">
        <v>387</v>
      </c>
      <c r="J217" s="9" t="s">
        <v>387</v>
      </c>
      <c r="K217" s="3" t="s">
        <v>411</v>
      </c>
    </row>
    <row r="218" spans="1:11" ht="45" hidden="1" x14ac:dyDescent="0.25">
      <c r="A218" s="1" t="s">
        <v>162</v>
      </c>
      <c r="B218" s="1" t="s">
        <v>197</v>
      </c>
      <c r="C218" s="1">
        <v>4</v>
      </c>
      <c r="D218" s="1" t="s">
        <v>208</v>
      </c>
      <c r="E218" s="1" t="s">
        <v>797</v>
      </c>
      <c r="F218" s="1" t="str">
        <f>IF(COUNTIF(D:D,"="&amp;D218)=1,"Oui","Non")</f>
        <v>Oui</v>
      </c>
      <c r="G218" s="3" t="s">
        <v>809</v>
      </c>
      <c r="H218" s="1" t="s">
        <v>810</v>
      </c>
      <c r="I218" s="1" t="s">
        <v>387</v>
      </c>
      <c r="J218" s="9" t="s">
        <v>387</v>
      </c>
      <c r="K218" s="3" t="s">
        <v>398</v>
      </c>
    </row>
    <row r="219" spans="1:11" hidden="1" x14ac:dyDescent="0.25">
      <c r="A219" s="1" t="s">
        <v>162</v>
      </c>
      <c r="B219" s="1" t="s">
        <v>197</v>
      </c>
      <c r="C219" s="1">
        <v>4</v>
      </c>
      <c r="D219" s="1" t="s">
        <v>209</v>
      </c>
      <c r="E219" s="1" t="s">
        <v>804</v>
      </c>
      <c r="F219" s="1" t="str">
        <f>IF(COUNTIF(D:D,"="&amp;D219)=1,"Oui","Non")</f>
        <v>Oui</v>
      </c>
      <c r="G219" s="3" t="s">
        <v>811</v>
      </c>
      <c r="H219" s="1" t="s">
        <v>390</v>
      </c>
      <c r="I219" s="1" t="s">
        <v>602</v>
      </c>
      <c r="J219" s="9" t="s">
        <v>619</v>
      </c>
      <c r="K219" s="3" t="s">
        <v>398</v>
      </c>
    </row>
    <row r="220" spans="1:11" hidden="1" x14ac:dyDescent="0.25">
      <c r="A220" s="1" t="s">
        <v>162</v>
      </c>
      <c r="B220" s="1" t="s">
        <v>197</v>
      </c>
      <c r="C220" s="1">
        <v>5</v>
      </c>
      <c r="D220" s="1" t="s">
        <v>210</v>
      </c>
      <c r="E220" s="1" t="s">
        <v>422</v>
      </c>
      <c r="F220" s="1" t="str">
        <f>IF(COUNTIF(D:D,"="&amp;D220)=1,"Oui","Non")</f>
        <v>Oui</v>
      </c>
      <c r="G220" s="3" t="s">
        <v>812</v>
      </c>
      <c r="H220" s="1" t="s">
        <v>557</v>
      </c>
      <c r="I220" s="1" t="s">
        <v>441</v>
      </c>
      <c r="J220" s="9" t="s">
        <v>813</v>
      </c>
      <c r="K220" s="3" t="s">
        <v>449</v>
      </c>
    </row>
    <row r="221" spans="1:11" ht="45" hidden="1" x14ac:dyDescent="0.25">
      <c r="A221" s="1" t="s">
        <v>162</v>
      </c>
      <c r="B221" s="1" t="s">
        <v>197</v>
      </c>
      <c r="C221" s="1">
        <v>5</v>
      </c>
      <c r="D221" s="1" t="s">
        <v>211</v>
      </c>
      <c r="E221" s="1" t="s">
        <v>595</v>
      </c>
      <c r="F221" s="1" t="str">
        <f>IF(COUNTIF(D:D,"="&amp;D221)=1,"Oui","Non")</f>
        <v>Oui</v>
      </c>
      <c r="G221" s="3" t="s">
        <v>814</v>
      </c>
      <c r="H221" s="1" t="s">
        <v>424</v>
      </c>
      <c r="I221" s="1" t="s">
        <v>387</v>
      </c>
      <c r="J221" s="9" t="s">
        <v>387</v>
      </c>
      <c r="K221" s="3" t="s">
        <v>388</v>
      </c>
    </row>
    <row r="222" spans="1:11" hidden="1" x14ac:dyDescent="0.25">
      <c r="A222" s="1" t="s">
        <v>162</v>
      </c>
      <c r="B222" s="1" t="s">
        <v>197</v>
      </c>
      <c r="C222" s="1">
        <v>6</v>
      </c>
      <c r="D222" s="1" t="s">
        <v>212</v>
      </c>
      <c r="E222" s="1" t="s">
        <v>757</v>
      </c>
      <c r="F222" s="1" t="str">
        <f>IF(COUNTIF(D:D,"="&amp;D222)=1,"Oui","Non")</f>
        <v>Oui</v>
      </c>
      <c r="G222" s="3" t="s">
        <v>815</v>
      </c>
      <c r="H222" s="1" t="s">
        <v>617</v>
      </c>
      <c r="I222" s="1" t="s">
        <v>441</v>
      </c>
      <c r="J222" s="9">
        <v>8</v>
      </c>
      <c r="K222" s="3" t="s">
        <v>398</v>
      </c>
    </row>
    <row r="223" spans="1:11" hidden="1" x14ac:dyDescent="0.25">
      <c r="A223" s="1" t="s">
        <v>162</v>
      </c>
      <c r="B223" s="1" t="s">
        <v>213</v>
      </c>
      <c r="C223" s="1">
        <v>1</v>
      </c>
      <c r="D223" s="1" t="s">
        <v>214</v>
      </c>
      <c r="E223" s="1" t="s">
        <v>422</v>
      </c>
      <c r="F223" s="1" t="str">
        <f>IF(COUNTIF(D:D,"="&amp;D223)=1,"Oui","Non")</f>
        <v>Oui</v>
      </c>
      <c r="G223" s="3" t="s">
        <v>816</v>
      </c>
      <c r="H223" s="1" t="s">
        <v>424</v>
      </c>
      <c r="I223" s="1" t="s">
        <v>488</v>
      </c>
      <c r="J223" s="9" t="s">
        <v>488</v>
      </c>
      <c r="K223" s="3" t="s">
        <v>449</v>
      </c>
    </row>
    <row r="224" spans="1:11" ht="30" hidden="1" x14ac:dyDescent="0.25">
      <c r="A224" s="1" t="s">
        <v>162</v>
      </c>
      <c r="B224" s="1" t="s">
        <v>213</v>
      </c>
      <c r="C224" s="1">
        <v>1</v>
      </c>
      <c r="D224" s="1" t="s">
        <v>215</v>
      </c>
      <c r="E224" s="1" t="s">
        <v>846</v>
      </c>
      <c r="F224" s="1" t="str">
        <f>IF(COUNTIF(D:D,"="&amp;D224)=1,"Oui","Non")</f>
        <v>Oui</v>
      </c>
      <c r="G224" s="3" t="s">
        <v>818</v>
      </c>
      <c r="H224" s="1" t="s">
        <v>424</v>
      </c>
      <c r="I224" s="1" t="s">
        <v>819</v>
      </c>
      <c r="J224" s="9">
        <v>6</v>
      </c>
      <c r="K224" s="3" t="s">
        <v>388</v>
      </c>
    </row>
    <row r="225" spans="1:11" hidden="1" x14ac:dyDescent="0.25">
      <c r="A225" s="1" t="s">
        <v>162</v>
      </c>
      <c r="B225" s="1" t="s">
        <v>213</v>
      </c>
      <c r="C225" s="1">
        <v>1</v>
      </c>
      <c r="D225" s="1" t="s">
        <v>216</v>
      </c>
      <c r="E225" s="1" t="s">
        <v>823</v>
      </c>
      <c r="F225" s="1" t="str">
        <f>IF(COUNTIF(D:D,"="&amp;D225)=1,"Oui","Non")</f>
        <v>Oui</v>
      </c>
      <c r="G225" s="3" t="s">
        <v>820</v>
      </c>
      <c r="H225" s="1" t="s">
        <v>424</v>
      </c>
      <c r="I225" s="1" t="s">
        <v>387</v>
      </c>
      <c r="J225" s="9" t="s">
        <v>387</v>
      </c>
      <c r="K225" s="3" t="s">
        <v>388</v>
      </c>
    </row>
    <row r="226" spans="1:11" hidden="1" x14ac:dyDescent="0.25">
      <c r="A226" s="1" t="s">
        <v>162</v>
      </c>
      <c r="B226" s="1" t="s">
        <v>213</v>
      </c>
      <c r="C226" s="1">
        <v>1</v>
      </c>
      <c r="D226" s="1" t="s">
        <v>106</v>
      </c>
      <c r="E226" s="1" t="s">
        <v>389</v>
      </c>
      <c r="F226" s="1" t="str">
        <f>IF(COUNTIF(D:D,"="&amp;D226)=1,"Oui","Non")</f>
        <v>Non</v>
      </c>
      <c r="G226" s="3" t="s">
        <v>436</v>
      </c>
      <c r="H226" s="1" t="s">
        <v>396</v>
      </c>
      <c r="I226" s="1" t="s">
        <v>387</v>
      </c>
      <c r="J226" s="9" t="s">
        <v>387</v>
      </c>
      <c r="K226" s="3" t="s">
        <v>388</v>
      </c>
    </row>
    <row r="227" spans="1:11" hidden="1" x14ac:dyDescent="0.25">
      <c r="A227" s="1" t="s">
        <v>162</v>
      </c>
      <c r="B227" s="1" t="s">
        <v>213</v>
      </c>
      <c r="C227" s="1">
        <v>1</v>
      </c>
      <c r="D227" s="1" t="s">
        <v>88</v>
      </c>
      <c r="E227" s="1" t="s">
        <v>846</v>
      </c>
      <c r="F227" s="1" t="str">
        <f>IF(COUNTIF(D:D,"="&amp;D227)=1,"Oui","Non")</f>
        <v>Non</v>
      </c>
      <c r="G227" s="3" t="s">
        <v>434</v>
      </c>
      <c r="H227" s="1" t="s">
        <v>424</v>
      </c>
      <c r="I227" s="1" t="s">
        <v>484</v>
      </c>
      <c r="J227" s="9" t="s">
        <v>475</v>
      </c>
      <c r="K227" s="3" t="s">
        <v>398</v>
      </c>
    </row>
    <row r="228" spans="1:11" hidden="1" x14ac:dyDescent="0.25">
      <c r="A228" s="1" t="s">
        <v>162</v>
      </c>
      <c r="B228" s="1" t="s">
        <v>213</v>
      </c>
      <c r="C228" s="1">
        <v>2</v>
      </c>
      <c r="D228" s="1" t="s">
        <v>201</v>
      </c>
      <c r="E228" s="1" t="s">
        <v>389</v>
      </c>
      <c r="F228" s="1" t="str">
        <f>IF(COUNTIF(D:D,"="&amp;D228)=1,"Oui","Non")</f>
        <v>Non</v>
      </c>
      <c r="G228" s="3" t="s">
        <v>465</v>
      </c>
      <c r="H228" s="1" t="s">
        <v>424</v>
      </c>
      <c r="I228" s="1" t="s">
        <v>466</v>
      </c>
      <c r="J228" s="9">
        <v>6</v>
      </c>
      <c r="K228" s="3" t="s">
        <v>388</v>
      </c>
    </row>
    <row r="229" spans="1:11" ht="30" hidden="1" x14ac:dyDescent="0.25">
      <c r="A229" s="1" t="s">
        <v>162</v>
      </c>
      <c r="B229" s="1" t="s">
        <v>213</v>
      </c>
      <c r="C229" s="1">
        <v>2</v>
      </c>
      <c r="D229" s="1" t="s">
        <v>217</v>
      </c>
      <c r="E229" s="1" t="s">
        <v>823</v>
      </c>
      <c r="F229" s="1" t="str">
        <f>IF(COUNTIF(D:D,"="&amp;D229)=1,"Oui","Non")</f>
        <v>Oui</v>
      </c>
      <c r="G229" s="3" t="s">
        <v>822</v>
      </c>
      <c r="H229" s="1" t="s">
        <v>424</v>
      </c>
      <c r="I229" s="1" t="s">
        <v>387</v>
      </c>
      <c r="J229" s="9" t="s">
        <v>387</v>
      </c>
      <c r="K229" s="3" t="s">
        <v>388</v>
      </c>
    </row>
    <row r="230" spans="1:11" ht="30" hidden="1" x14ac:dyDescent="0.25">
      <c r="A230" s="1" t="s">
        <v>162</v>
      </c>
      <c r="B230" s="1" t="s">
        <v>213</v>
      </c>
      <c r="C230" s="1">
        <v>2</v>
      </c>
      <c r="D230" s="1" t="s">
        <v>218</v>
      </c>
      <c r="E230" s="1" t="s">
        <v>823</v>
      </c>
      <c r="F230" s="1" t="str">
        <f>IF(COUNTIF(D:D,"="&amp;D230)=1,"Oui","Non")</f>
        <v>Oui</v>
      </c>
      <c r="G230" s="3" t="s">
        <v>825</v>
      </c>
      <c r="H230" s="1" t="s">
        <v>424</v>
      </c>
      <c r="I230" s="1" t="s">
        <v>510</v>
      </c>
      <c r="J230" s="9" t="s">
        <v>488</v>
      </c>
      <c r="K230" s="3" t="s">
        <v>398</v>
      </c>
    </row>
    <row r="231" spans="1:11" ht="30" hidden="1" x14ac:dyDescent="0.25">
      <c r="A231" s="1" t="s">
        <v>162</v>
      </c>
      <c r="B231" s="1" t="s">
        <v>213</v>
      </c>
      <c r="C231" s="1">
        <v>2</v>
      </c>
      <c r="D231" s="1" t="s">
        <v>219</v>
      </c>
      <c r="E231" s="1" t="s">
        <v>823</v>
      </c>
      <c r="F231" s="1" t="str">
        <f>IF(COUNTIF(D:D,"="&amp;D231)=1,"Oui","Non")</f>
        <v>Oui</v>
      </c>
      <c r="G231" s="3" t="s">
        <v>826</v>
      </c>
      <c r="H231" s="1" t="s">
        <v>454</v>
      </c>
      <c r="I231" s="1" t="s">
        <v>387</v>
      </c>
      <c r="J231" s="9" t="s">
        <v>387</v>
      </c>
      <c r="K231" s="3" t="s">
        <v>388</v>
      </c>
    </row>
    <row r="232" spans="1:11" hidden="1" x14ac:dyDescent="0.25">
      <c r="A232" s="1" t="s">
        <v>162</v>
      </c>
      <c r="B232" s="1" t="s">
        <v>213</v>
      </c>
      <c r="C232" s="1">
        <v>2</v>
      </c>
      <c r="D232" s="1" t="s">
        <v>220</v>
      </c>
      <c r="E232" s="1" t="s">
        <v>846</v>
      </c>
      <c r="F232" s="1" t="str">
        <f>IF(COUNTIF(D:D,"="&amp;D232)=1,"Oui","Non")</f>
        <v>Oui</v>
      </c>
      <c r="G232" s="3" t="s">
        <v>827</v>
      </c>
      <c r="H232" s="1" t="s">
        <v>424</v>
      </c>
      <c r="I232" s="1" t="s">
        <v>484</v>
      </c>
      <c r="J232" s="9" t="s">
        <v>475</v>
      </c>
      <c r="K232" s="3" t="s">
        <v>398</v>
      </c>
    </row>
    <row r="233" spans="1:11" ht="30" hidden="1" x14ac:dyDescent="0.25">
      <c r="A233" s="1" t="s">
        <v>162</v>
      </c>
      <c r="B233" s="1" t="s">
        <v>213</v>
      </c>
      <c r="C233" s="1">
        <v>3</v>
      </c>
      <c r="D233" s="1" t="s">
        <v>221</v>
      </c>
      <c r="E233" s="1" t="s">
        <v>846</v>
      </c>
      <c r="F233" s="1" t="str">
        <f>IF(COUNTIF(D:D,"="&amp;D233)=1,"Oui","Non")</f>
        <v>Oui</v>
      </c>
      <c r="G233" s="3" t="s">
        <v>828</v>
      </c>
      <c r="H233" s="1" t="s">
        <v>390</v>
      </c>
      <c r="I233" s="1" t="s">
        <v>510</v>
      </c>
      <c r="J233" s="9">
        <v>7</v>
      </c>
      <c r="K233" s="3" t="s">
        <v>388</v>
      </c>
    </row>
    <row r="234" spans="1:11" hidden="1" x14ac:dyDescent="0.25">
      <c r="A234" s="1" t="s">
        <v>162</v>
      </c>
      <c r="B234" s="1" t="s">
        <v>213</v>
      </c>
      <c r="C234" s="1">
        <v>3</v>
      </c>
      <c r="D234" s="1" t="s">
        <v>11</v>
      </c>
      <c r="E234" s="1" t="s">
        <v>595</v>
      </c>
      <c r="F234" s="1" t="str">
        <f>IF(COUNTIF(D:D,"="&amp;D234)=1,"Oui","Non")</f>
        <v>Non</v>
      </c>
      <c r="G234" s="3" t="s">
        <v>397</v>
      </c>
      <c r="H234" s="1" t="s">
        <v>396</v>
      </c>
      <c r="I234" s="1" t="s">
        <v>480</v>
      </c>
      <c r="J234" s="9">
        <v>8</v>
      </c>
      <c r="K234" s="3" t="s">
        <v>398</v>
      </c>
    </row>
    <row r="235" spans="1:11" hidden="1" x14ac:dyDescent="0.25">
      <c r="A235" s="1" t="s">
        <v>162</v>
      </c>
      <c r="B235" s="1" t="s">
        <v>213</v>
      </c>
      <c r="C235" s="1">
        <v>3</v>
      </c>
      <c r="D235" s="1" t="s">
        <v>223</v>
      </c>
      <c r="E235" s="1" t="s">
        <v>823</v>
      </c>
      <c r="F235" s="1" t="str">
        <f>IF(COUNTIF(D:D,"="&amp;D235)=1,"Oui","Non")</f>
        <v>Oui</v>
      </c>
      <c r="G235" s="3" t="s">
        <v>829</v>
      </c>
      <c r="H235" s="1" t="s">
        <v>390</v>
      </c>
      <c r="I235" s="1" t="s">
        <v>510</v>
      </c>
      <c r="J235" s="9" t="s">
        <v>488</v>
      </c>
      <c r="K235" s="3" t="s">
        <v>388</v>
      </c>
    </row>
    <row r="236" spans="1:11" ht="45" hidden="1" x14ac:dyDescent="0.25">
      <c r="A236" s="1" t="s">
        <v>162</v>
      </c>
      <c r="B236" s="1" t="s">
        <v>213</v>
      </c>
      <c r="C236" s="1">
        <v>3</v>
      </c>
      <c r="D236" s="1" t="s">
        <v>224</v>
      </c>
      <c r="E236" s="1" t="s">
        <v>846</v>
      </c>
      <c r="F236" s="1" t="str">
        <f>IF(COUNTIF(D:D,"="&amp;D236)=1,"Oui","Non")</f>
        <v>Oui</v>
      </c>
      <c r="G236" s="3" t="s">
        <v>832</v>
      </c>
      <c r="H236" s="1" t="s">
        <v>424</v>
      </c>
      <c r="I236" s="1" t="s">
        <v>830</v>
      </c>
      <c r="J236" s="9" t="s">
        <v>831</v>
      </c>
      <c r="K236" s="3" t="s">
        <v>398</v>
      </c>
    </row>
    <row r="237" spans="1:11" ht="30" hidden="1" x14ac:dyDescent="0.25">
      <c r="A237" s="1" t="s">
        <v>162</v>
      </c>
      <c r="B237" s="1" t="s">
        <v>213</v>
      </c>
      <c r="C237" s="1">
        <v>4</v>
      </c>
      <c r="D237" s="1" t="s">
        <v>192</v>
      </c>
      <c r="E237" s="1" t="s">
        <v>783</v>
      </c>
      <c r="F237" s="1" t="str">
        <f>IF(COUNTIF(D:D,"="&amp;D237)=1,"Oui","Non")</f>
        <v>Non</v>
      </c>
      <c r="G237" s="3" t="s">
        <v>463</v>
      </c>
      <c r="H237" s="1" t="s">
        <v>396</v>
      </c>
      <c r="I237" s="1" t="s">
        <v>489</v>
      </c>
      <c r="J237" s="9" t="s">
        <v>475</v>
      </c>
      <c r="K237" s="3" t="s">
        <v>464</v>
      </c>
    </row>
    <row r="238" spans="1:11" ht="30" hidden="1" x14ac:dyDescent="0.25">
      <c r="A238" s="1" t="s">
        <v>162</v>
      </c>
      <c r="B238" s="1" t="s">
        <v>213</v>
      </c>
      <c r="C238" s="1">
        <v>4</v>
      </c>
      <c r="D238" s="1" t="s">
        <v>225</v>
      </c>
      <c r="E238" s="1" t="s">
        <v>594</v>
      </c>
      <c r="F238" s="1" t="str">
        <f>IF(COUNTIF(D:D,"="&amp;D238)=1,"Oui","Non")</f>
        <v>Oui</v>
      </c>
      <c r="G238" s="3" t="s">
        <v>837</v>
      </c>
      <c r="H238" s="1" t="s">
        <v>424</v>
      </c>
      <c r="I238" s="1" t="s">
        <v>759</v>
      </c>
      <c r="J238" s="9" t="s">
        <v>759</v>
      </c>
      <c r="K238" s="3" t="s">
        <v>401</v>
      </c>
    </row>
    <row r="239" spans="1:11" hidden="1" x14ac:dyDescent="0.25">
      <c r="A239" s="1" t="s">
        <v>162</v>
      </c>
      <c r="B239" s="1" t="s">
        <v>213</v>
      </c>
      <c r="C239" s="1">
        <v>4</v>
      </c>
      <c r="D239" s="1" t="s">
        <v>226</v>
      </c>
      <c r="E239" s="1" t="s">
        <v>823</v>
      </c>
      <c r="F239" s="1" t="str">
        <f>IF(COUNTIF(D:D,"="&amp;D239)=1,"Oui","Non")</f>
        <v>Oui</v>
      </c>
      <c r="G239" s="3" t="s">
        <v>838</v>
      </c>
      <c r="H239" s="1" t="s">
        <v>424</v>
      </c>
      <c r="I239" s="1" t="s">
        <v>839</v>
      </c>
      <c r="J239" s="9" t="s">
        <v>488</v>
      </c>
      <c r="K239" s="3" t="s">
        <v>449</v>
      </c>
    </row>
    <row r="240" spans="1:11" hidden="1" x14ac:dyDescent="0.25">
      <c r="A240" s="1" t="s">
        <v>162</v>
      </c>
      <c r="B240" s="1" t="s">
        <v>213</v>
      </c>
      <c r="C240" s="1">
        <v>4</v>
      </c>
      <c r="D240" s="1" t="s">
        <v>58</v>
      </c>
      <c r="E240" s="1" t="s">
        <v>425</v>
      </c>
      <c r="F240" s="1" t="str">
        <f>IF(COUNTIF(D:D,"="&amp;D240)=1,"Oui","Non")</f>
        <v>Non</v>
      </c>
      <c r="G240" s="3" t="s">
        <v>426</v>
      </c>
      <c r="H240" s="1" t="s">
        <v>390</v>
      </c>
      <c r="I240" s="1" t="s">
        <v>387</v>
      </c>
      <c r="J240" s="9" t="s">
        <v>387</v>
      </c>
      <c r="K240" s="3" t="s">
        <v>411</v>
      </c>
    </row>
    <row r="241" spans="1:11" ht="30" hidden="1" x14ac:dyDescent="0.25">
      <c r="A241" s="1" t="s">
        <v>162</v>
      </c>
      <c r="B241" s="1" t="s">
        <v>213</v>
      </c>
      <c r="C241" s="1">
        <v>5</v>
      </c>
      <c r="D241" s="1" t="s">
        <v>227</v>
      </c>
      <c r="E241" s="1" t="s">
        <v>846</v>
      </c>
      <c r="F241" s="1" t="str">
        <f>IF(COUNTIF(D:D,"="&amp;D241)=1,"Oui","Non")</f>
        <v>Oui</v>
      </c>
      <c r="G241" s="3" t="s">
        <v>840</v>
      </c>
      <c r="H241" s="1" t="s">
        <v>424</v>
      </c>
      <c r="I241" s="1" t="s">
        <v>841</v>
      </c>
      <c r="J241" s="9">
        <v>8</v>
      </c>
      <c r="K241" s="3" t="s">
        <v>388</v>
      </c>
    </row>
    <row r="242" spans="1:11" ht="30" hidden="1" x14ac:dyDescent="0.25">
      <c r="A242" s="1" t="s">
        <v>162</v>
      </c>
      <c r="B242" s="1" t="s">
        <v>213</v>
      </c>
      <c r="C242" s="1">
        <v>5</v>
      </c>
      <c r="D242" s="1" t="s">
        <v>228</v>
      </c>
      <c r="E242" s="1" t="s">
        <v>422</v>
      </c>
      <c r="F242" s="1" t="str">
        <f>IF(COUNTIF(D:D,"="&amp;D242)=1,"Oui","Non")</f>
        <v>Oui</v>
      </c>
      <c r="G242" s="3" t="s">
        <v>842</v>
      </c>
      <c r="H242" s="1" t="s">
        <v>424</v>
      </c>
      <c r="I242" s="1" t="s">
        <v>387</v>
      </c>
      <c r="J242" s="9" t="s">
        <v>387</v>
      </c>
      <c r="K242" s="3" t="s">
        <v>388</v>
      </c>
    </row>
    <row r="243" spans="1:11" hidden="1" x14ac:dyDescent="0.25">
      <c r="A243" s="1" t="s">
        <v>162</v>
      </c>
      <c r="B243" s="1" t="s">
        <v>229</v>
      </c>
      <c r="C243" s="1">
        <v>1</v>
      </c>
      <c r="D243" s="1" t="s">
        <v>43</v>
      </c>
      <c r="E243" s="1" t="s">
        <v>520</v>
      </c>
      <c r="F243" s="1" t="str">
        <f>IF(COUNTIF(D:D,"="&amp;D243)=1,"Oui","Non")</f>
        <v>Non</v>
      </c>
      <c r="G243" s="3" t="s">
        <v>416</v>
      </c>
      <c r="H243" s="1" t="s">
        <v>390</v>
      </c>
      <c r="I243" s="1" t="s">
        <v>522</v>
      </c>
      <c r="J243" s="9">
        <v>7</v>
      </c>
      <c r="K243" s="3" t="s">
        <v>388</v>
      </c>
    </row>
    <row r="244" spans="1:11" ht="30" hidden="1" x14ac:dyDescent="0.25">
      <c r="A244" s="1" t="s">
        <v>162</v>
      </c>
      <c r="B244" s="1" t="s">
        <v>229</v>
      </c>
      <c r="C244" s="1">
        <v>1</v>
      </c>
      <c r="D244" s="1" t="s">
        <v>230</v>
      </c>
      <c r="E244" s="1" t="s">
        <v>868</v>
      </c>
      <c r="F244" s="1" t="str">
        <f>IF(COUNTIF(D:D,"="&amp;D244)=1,"Oui","Non")</f>
        <v>Oui</v>
      </c>
      <c r="G244" s="3" t="s">
        <v>848</v>
      </c>
      <c r="H244" s="1" t="s">
        <v>396</v>
      </c>
      <c r="I244" s="1" t="s">
        <v>387</v>
      </c>
      <c r="J244" s="9" t="s">
        <v>387</v>
      </c>
      <c r="K244" s="3" t="s">
        <v>388</v>
      </c>
    </row>
    <row r="245" spans="1:11" ht="30" hidden="1" x14ac:dyDescent="0.25">
      <c r="A245" s="1" t="s">
        <v>162</v>
      </c>
      <c r="B245" s="1" t="s">
        <v>229</v>
      </c>
      <c r="C245" s="1">
        <v>1</v>
      </c>
      <c r="D245" s="1" t="s">
        <v>231</v>
      </c>
      <c r="E245" s="1" t="s">
        <v>867</v>
      </c>
      <c r="F245" s="1" t="str">
        <f>IF(COUNTIF(D:D,"="&amp;D245)=1,"Oui","Non")</f>
        <v>Oui</v>
      </c>
      <c r="G245" s="3" t="s">
        <v>849</v>
      </c>
      <c r="H245" s="1" t="s">
        <v>390</v>
      </c>
      <c r="I245" s="1" t="s">
        <v>622</v>
      </c>
      <c r="J245" s="9">
        <v>6</v>
      </c>
      <c r="K245" s="3" t="s">
        <v>850</v>
      </c>
    </row>
    <row r="246" spans="1:11" hidden="1" x14ac:dyDescent="0.25">
      <c r="A246" s="1" t="s">
        <v>162</v>
      </c>
      <c r="B246" s="1" t="s">
        <v>229</v>
      </c>
      <c r="C246" s="1">
        <v>1</v>
      </c>
      <c r="D246" s="1" t="s">
        <v>7</v>
      </c>
      <c r="E246" s="1" t="s">
        <v>687</v>
      </c>
      <c r="F246" s="1" t="str">
        <f>IF(COUNTIF(D:D,"="&amp;D246)=1,"Oui","Non")</f>
        <v>Non</v>
      </c>
      <c r="G246" s="3" t="s">
        <v>391</v>
      </c>
      <c r="H246" s="1" t="s">
        <v>390</v>
      </c>
      <c r="I246" s="1" t="s">
        <v>477</v>
      </c>
      <c r="J246" s="9">
        <v>7</v>
      </c>
      <c r="K246" s="3" t="s">
        <v>388</v>
      </c>
    </row>
    <row r="247" spans="1:11" ht="30" hidden="1" x14ac:dyDescent="0.25">
      <c r="A247" s="1" t="s">
        <v>162</v>
      </c>
      <c r="B247" s="1" t="s">
        <v>229</v>
      </c>
      <c r="C247" s="1">
        <v>1</v>
      </c>
      <c r="D247" s="1" t="s">
        <v>232</v>
      </c>
      <c r="E247" s="1" t="s">
        <v>389</v>
      </c>
      <c r="F247" s="1" t="str">
        <f>IF(COUNTIF(D:D,"="&amp;D247)=1,"Oui","Non")</f>
        <v>Non</v>
      </c>
      <c r="G247" s="3" t="s">
        <v>467</v>
      </c>
      <c r="H247" s="1" t="s">
        <v>390</v>
      </c>
      <c r="I247" s="1" t="s">
        <v>387</v>
      </c>
      <c r="J247" s="9" t="s">
        <v>387</v>
      </c>
      <c r="K247" s="3" t="s">
        <v>421</v>
      </c>
    </row>
    <row r="248" spans="1:11" hidden="1" x14ac:dyDescent="0.25">
      <c r="A248" s="1" t="s">
        <v>162</v>
      </c>
      <c r="B248" s="1" t="s">
        <v>229</v>
      </c>
      <c r="C248" s="1">
        <v>2</v>
      </c>
      <c r="D248" s="1" t="s">
        <v>233</v>
      </c>
      <c r="E248" s="1" t="s">
        <v>869</v>
      </c>
      <c r="F248" s="1" t="str">
        <f>IF(COUNTIF(D:D,"="&amp;D248)=1,"Oui","Non")</f>
        <v>Oui</v>
      </c>
      <c r="G248" s="3" t="s">
        <v>851</v>
      </c>
      <c r="H248" s="1" t="s">
        <v>454</v>
      </c>
      <c r="I248" s="1" t="s">
        <v>387</v>
      </c>
      <c r="J248" s="9" t="s">
        <v>387</v>
      </c>
      <c r="K248" s="3" t="s">
        <v>852</v>
      </c>
    </row>
    <row r="249" spans="1:11" hidden="1" x14ac:dyDescent="0.25">
      <c r="A249" s="1" t="s">
        <v>162</v>
      </c>
      <c r="B249" s="1" t="s">
        <v>229</v>
      </c>
      <c r="C249" s="1">
        <v>2</v>
      </c>
      <c r="D249" s="1" t="s">
        <v>234</v>
      </c>
      <c r="E249" s="1" t="s">
        <v>868</v>
      </c>
      <c r="F249" s="1" t="str">
        <f>IF(COUNTIF(D:D,"="&amp;D249)=1,"Oui","Non")</f>
        <v>Oui</v>
      </c>
      <c r="G249" s="3" t="s">
        <v>853</v>
      </c>
      <c r="H249" s="1" t="s">
        <v>424</v>
      </c>
      <c r="I249" s="1" t="s">
        <v>499</v>
      </c>
      <c r="J249" s="9" t="s">
        <v>488</v>
      </c>
      <c r="K249" s="3" t="s">
        <v>449</v>
      </c>
    </row>
    <row r="250" spans="1:11" hidden="1" x14ac:dyDescent="0.25">
      <c r="A250" s="1" t="s">
        <v>162</v>
      </c>
      <c r="B250" s="1" t="s">
        <v>229</v>
      </c>
      <c r="C250" s="1">
        <v>2</v>
      </c>
      <c r="D250" s="1" t="s">
        <v>235</v>
      </c>
      <c r="E250" s="1" t="s">
        <v>868</v>
      </c>
      <c r="F250" s="1" t="str">
        <f>IF(COUNTIF(D:D,"="&amp;D250)=1,"Oui","Non")</f>
        <v>Oui</v>
      </c>
      <c r="G250" s="3" t="s">
        <v>854</v>
      </c>
      <c r="H250" s="1" t="s">
        <v>390</v>
      </c>
      <c r="I250" s="1" t="s">
        <v>441</v>
      </c>
      <c r="J250" s="9" t="s">
        <v>562</v>
      </c>
      <c r="K250" s="3" t="s">
        <v>449</v>
      </c>
    </row>
    <row r="251" spans="1:11" hidden="1" x14ac:dyDescent="0.25">
      <c r="A251" s="1" t="s">
        <v>162</v>
      </c>
      <c r="B251" s="1" t="s">
        <v>229</v>
      </c>
      <c r="C251" s="1">
        <v>2</v>
      </c>
      <c r="D251" s="1" t="s">
        <v>27</v>
      </c>
      <c r="E251" s="1" t="s">
        <v>402</v>
      </c>
      <c r="F251" s="1" t="str">
        <f>IF(COUNTIF(D:D,"="&amp;D251)=1,"Oui","Non")</f>
        <v>Non</v>
      </c>
      <c r="G251" s="3" t="s">
        <v>410</v>
      </c>
      <c r="H251" s="1" t="s">
        <v>390</v>
      </c>
      <c r="I251" s="1" t="s">
        <v>387</v>
      </c>
      <c r="J251" s="9" t="s">
        <v>387</v>
      </c>
      <c r="K251" s="3" t="s">
        <v>411</v>
      </c>
    </row>
    <row r="252" spans="1:11" ht="30" hidden="1" x14ac:dyDescent="0.25">
      <c r="A252" s="1" t="s">
        <v>162</v>
      </c>
      <c r="B252" s="1" t="s">
        <v>229</v>
      </c>
      <c r="C252" s="1">
        <v>2</v>
      </c>
      <c r="D252" s="1" t="s">
        <v>236</v>
      </c>
      <c r="E252" s="1" t="s">
        <v>868</v>
      </c>
      <c r="F252" s="1" t="str">
        <f>IF(COUNTIF(D:D,"="&amp;D252)=1,"Oui","Non")</f>
        <v>Oui</v>
      </c>
      <c r="G252" s="3" t="s">
        <v>855</v>
      </c>
      <c r="H252" s="1" t="s">
        <v>424</v>
      </c>
      <c r="I252" s="1" t="s">
        <v>720</v>
      </c>
      <c r="J252" s="9" t="s">
        <v>856</v>
      </c>
      <c r="K252" s="3" t="s">
        <v>449</v>
      </c>
    </row>
    <row r="253" spans="1:11" ht="30" hidden="1" x14ac:dyDescent="0.25">
      <c r="A253" s="1" t="s">
        <v>162</v>
      </c>
      <c r="B253" s="1" t="s">
        <v>229</v>
      </c>
      <c r="C253" s="1">
        <v>3</v>
      </c>
      <c r="D253" s="1" t="s">
        <v>237</v>
      </c>
      <c r="E253" s="1" t="s">
        <v>867</v>
      </c>
      <c r="F253" s="1" t="str">
        <f>IF(COUNTIF(D:D,"="&amp;D253)=1,"Oui","Non")</f>
        <v>Oui</v>
      </c>
      <c r="G253" s="3" t="s">
        <v>857</v>
      </c>
      <c r="H253" s="1" t="s">
        <v>424</v>
      </c>
      <c r="I253" s="1" t="s">
        <v>387</v>
      </c>
      <c r="J253" s="9" t="s">
        <v>387</v>
      </c>
      <c r="K253" s="3" t="s">
        <v>852</v>
      </c>
    </row>
    <row r="254" spans="1:11" ht="30" hidden="1" x14ac:dyDescent="0.25">
      <c r="A254" s="1" t="s">
        <v>162</v>
      </c>
      <c r="B254" s="1" t="s">
        <v>229</v>
      </c>
      <c r="C254" s="1">
        <v>3</v>
      </c>
      <c r="D254" s="1" t="s">
        <v>131</v>
      </c>
      <c r="E254" s="1" t="s">
        <v>703</v>
      </c>
      <c r="F254" s="1" t="str">
        <f>IF(COUNTIF(D:D,"="&amp;D254)=1,"Oui","Non")</f>
        <v>Non</v>
      </c>
      <c r="G254" s="3" t="s">
        <v>448</v>
      </c>
      <c r="H254" s="1" t="s">
        <v>424</v>
      </c>
      <c r="I254" s="1" t="s">
        <v>486</v>
      </c>
      <c r="J254" s="9" t="s">
        <v>475</v>
      </c>
      <c r="K254" s="3" t="s">
        <v>449</v>
      </c>
    </row>
    <row r="255" spans="1:11" hidden="1" x14ac:dyDescent="0.25">
      <c r="A255" s="1" t="s">
        <v>162</v>
      </c>
      <c r="B255" s="1" t="s">
        <v>229</v>
      </c>
      <c r="C255" s="1">
        <v>3</v>
      </c>
      <c r="D255" s="1" t="s">
        <v>238</v>
      </c>
      <c r="E255" s="1" t="s">
        <v>867</v>
      </c>
      <c r="F255" s="1" t="str">
        <f>IF(COUNTIF(D:D,"="&amp;D255)=1,"Oui","Non")</f>
        <v>Oui</v>
      </c>
      <c r="G255" s="3" t="s">
        <v>858</v>
      </c>
      <c r="H255" s="1" t="s">
        <v>617</v>
      </c>
      <c r="I255" s="1" t="s">
        <v>739</v>
      </c>
      <c r="J255" s="9">
        <v>8</v>
      </c>
      <c r="K255" s="3" t="s">
        <v>388</v>
      </c>
    </row>
    <row r="256" spans="1:11" hidden="1" x14ac:dyDescent="0.25">
      <c r="A256" s="1" t="s">
        <v>162</v>
      </c>
      <c r="B256" s="1" t="s">
        <v>229</v>
      </c>
      <c r="C256" s="1">
        <v>3</v>
      </c>
      <c r="D256" s="1" t="s">
        <v>239</v>
      </c>
      <c r="E256" s="1" t="s">
        <v>867</v>
      </c>
      <c r="F256" s="1" t="str">
        <f>IF(COUNTIF(D:D,"="&amp;D256)=1,"Oui","Non")</f>
        <v>Oui</v>
      </c>
      <c r="G256" s="3" t="s">
        <v>859</v>
      </c>
      <c r="H256" s="1" t="s">
        <v>424</v>
      </c>
      <c r="I256" s="1" t="s">
        <v>624</v>
      </c>
      <c r="J256" s="9">
        <v>7</v>
      </c>
      <c r="K256" s="3" t="s">
        <v>388</v>
      </c>
    </row>
    <row r="257" spans="1:11" hidden="1" x14ac:dyDescent="0.25">
      <c r="A257" s="1" t="s">
        <v>162</v>
      </c>
      <c r="B257" s="1" t="s">
        <v>229</v>
      </c>
      <c r="C257" s="1">
        <v>3</v>
      </c>
      <c r="D257" s="1" t="s">
        <v>12</v>
      </c>
      <c r="E257" s="1" t="s">
        <v>399</v>
      </c>
      <c r="F257" s="1" t="str">
        <f>IF(COUNTIF(D:D,"="&amp;D257)=1,"Oui","Non")</f>
        <v>Non</v>
      </c>
      <c r="G257" s="3" t="s">
        <v>400</v>
      </c>
      <c r="H257" s="1" t="s">
        <v>424</v>
      </c>
      <c r="I257" s="1" t="s">
        <v>478</v>
      </c>
      <c r="J257" s="9" t="s">
        <v>475</v>
      </c>
      <c r="K257" s="3" t="s">
        <v>401</v>
      </c>
    </row>
    <row r="258" spans="1:11" ht="30" hidden="1" x14ac:dyDescent="0.25">
      <c r="A258" s="1" t="s">
        <v>162</v>
      </c>
      <c r="B258" s="1" t="s">
        <v>229</v>
      </c>
      <c r="C258" s="1">
        <v>4</v>
      </c>
      <c r="D258" s="1" t="s">
        <v>860</v>
      </c>
      <c r="E258" s="1" t="s">
        <v>867</v>
      </c>
      <c r="F258" s="1" t="str">
        <f>IF(COUNTIF(D:D,"="&amp;D258)=1,"Oui","Non")</f>
        <v>Oui</v>
      </c>
      <c r="G258" s="3" t="s">
        <v>861</v>
      </c>
      <c r="H258" s="1" t="s">
        <v>617</v>
      </c>
      <c r="I258" s="1" t="s">
        <v>862</v>
      </c>
      <c r="J258" s="9">
        <v>6</v>
      </c>
      <c r="K258" s="3" t="s">
        <v>388</v>
      </c>
    </row>
    <row r="259" spans="1:11" ht="30" hidden="1" x14ac:dyDescent="0.25">
      <c r="A259" s="1" t="s">
        <v>162</v>
      </c>
      <c r="B259" s="1" t="s">
        <v>229</v>
      </c>
      <c r="C259" s="1">
        <v>4</v>
      </c>
      <c r="D259" s="1" t="s">
        <v>240</v>
      </c>
      <c r="E259" s="1" t="s">
        <v>422</v>
      </c>
      <c r="F259" s="1" t="str">
        <f>IF(COUNTIF(D:D,"="&amp;D259)=1,"Oui","Non")</f>
        <v>Oui</v>
      </c>
      <c r="G259" s="3" t="s">
        <v>863</v>
      </c>
      <c r="H259" s="3" t="s">
        <v>669</v>
      </c>
      <c r="I259" s="1" t="s">
        <v>409</v>
      </c>
      <c r="J259" s="9">
        <v>8</v>
      </c>
      <c r="K259" s="3" t="s">
        <v>388</v>
      </c>
    </row>
    <row r="260" spans="1:11" ht="45" hidden="1" x14ac:dyDescent="0.25">
      <c r="A260" s="1" t="s">
        <v>162</v>
      </c>
      <c r="B260" s="1" t="s">
        <v>229</v>
      </c>
      <c r="C260" s="1">
        <v>5</v>
      </c>
      <c r="D260" s="1" t="s">
        <v>241</v>
      </c>
      <c r="E260" s="1" t="s">
        <v>867</v>
      </c>
      <c r="F260" s="1" t="str">
        <f>IF(COUNTIF(D:D,"="&amp;D260)=1,"Oui","Non")</f>
        <v>Oui</v>
      </c>
      <c r="G260" s="3" t="s">
        <v>864</v>
      </c>
      <c r="H260" s="1" t="s">
        <v>424</v>
      </c>
      <c r="I260" s="1" t="s">
        <v>670</v>
      </c>
      <c r="J260" s="9">
        <v>8</v>
      </c>
      <c r="K260" s="3" t="s">
        <v>671</v>
      </c>
    </row>
    <row r="261" spans="1:11" ht="30" hidden="1" x14ac:dyDescent="0.25">
      <c r="A261" s="1" t="s">
        <v>162</v>
      </c>
      <c r="B261" s="1" t="s">
        <v>229</v>
      </c>
      <c r="C261" s="1">
        <v>5</v>
      </c>
      <c r="D261" s="1" t="s">
        <v>242</v>
      </c>
      <c r="E261" s="1" t="s">
        <v>867</v>
      </c>
      <c r="F261" s="1" t="str">
        <f>IF(COUNTIF(D:D,"="&amp;D261)=1,"Oui","Non")</f>
        <v>Oui</v>
      </c>
      <c r="G261" s="3" t="s">
        <v>865</v>
      </c>
      <c r="H261" s="1" t="s">
        <v>396</v>
      </c>
      <c r="I261" s="1" t="s">
        <v>441</v>
      </c>
      <c r="J261" s="9">
        <v>7</v>
      </c>
      <c r="K261" s="3" t="s">
        <v>449</v>
      </c>
    </row>
    <row r="262" spans="1:11" ht="30" hidden="1" x14ac:dyDescent="0.25">
      <c r="A262" s="1" t="s">
        <v>162</v>
      </c>
      <c r="B262" s="1" t="s">
        <v>229</v>
      </c>
      <c r="C262" s="1">
        <v>5</v>
      </c>
      <c r="D262" s="1" t="s">
        <v>243</v>
      </c>
      <c r="E262" s="1" t="s">
        <v>867</v>
      </c>
      <c r="F262" s="1" t="str">
        <f>IF(COUNTIF(D:D,"="&amp;D262)=1,"Oui","Non")</f>
        <v>Oui</v>
      </c>
      <c r="G262" s="3" t="s">
        <v>866</v>
      </c>
      <c r="H262" s="1" t="s">
        <v>424</v>
      </c>
      <c r="I262" s="1" t="s">
        <v>404</v>
      </c>
      <c r="J262" s="9">
        <v>8</v>
      </c>
      <c r="K262" s="3" t="s">
        <v>388</v>
      </c>
    </row>
    <row r="263" spans="1:11" x14ac:dyDescent="0.25">
      <c r="A263" s="1" t="s">
        <v>162</v>
      </c>
      <c r="B263" s="1" t="s">
        <v>244</v>
      </c>
      <c r="C263" s="1">
        <v>1</v>
      </c>
      <c r="D263" s="1" t="s">
        <v>142</v>
      </c>
      <c r="E263" s="1" t="s">
        <v>452</v>
      </c>
      <c r="F263" s="1" t="str">
        <f>IF(COUNTIF(D:D,"="&amp;D263)=1,"Oui","Non")</f>
        <v>Non</v>
      </c>
      <c r="G263" s="3" t="s">
        <v>453</v>
      </c>
      <c r="H263" s="1" t="s">
        <v>454</v>
      </c>
      <c r="I263" s="1" t="s">
        <v>387</v>
      </c>
      <c r="J263" s="9" t="s">
        <v>387</v>
      </c>
      <c r="K263" s="3" t="s">
        <v>388</v>
      </c>
    </row>
    <row r="264" spans="1:11" x14ac:dyDescent="0.25">
      <c r="A264" s="1" t="s">
        <v>162</v>
      </c>
      <c r="B264" s="1" t="s">
        <v>244</v>
      </c>
      <c r="C264" s="1">
        <v>1</v>
      </c>
      <c r="D264" s="1" t="s">
        <v>5</v>
      </c>
      <c r="E264" s="1" t="s">
        <v>311</v>
      </c>
      <c r="F264" s="1" t="str">
        <f>IF(COUNTIF(D:D,"="&amp;D264)=1,"Oui","Non")</f>
        <v>Non</v>
      </c>
      <c r="G264" s="3" t="s">
        <v>386</v>
      </c>
      <c r="H264" s="1" t="s">
        <v>424</v>
      </c>
      <c r="I264" s="1" t="s">
        <v>387</v>
      </c>
      <c r="J264" s="9" t="s">
        <v>387</v>
      </c>
      <c r="K264" s="3" t="s">
        <v>388</v>
      </c>
    </row>
    <row r="265" spans="1:11" x14ac:dyDescent="0.25">
      <c r="A265" s="1" t="s">
        <v>162</v>
      </c>
      <c r="B265" s="1" t="s">
        <v>244</v>
      </c>
      <c r="C265" s="1">
        <v>1</v>
      </c>
      <c r="D265" s="1" t="s">
        <v>245</v>
      </c>
      <c r="E265" s="1" t="s">
        <v>422</v>
      </c>
      <c r="F265" s="1" t="str">
        <f>IF(COUNTIF(D:D,"="&amp;D265)=1,"Oui","Non")</f>
        <v>Oui</v>
      </c>
    </row>
    <row r="266" spans="1:11" x14ac:dyDescent="0.25">
      <c r="A266" s="1" t="s">
        <v>162</v>
      </c>
      <c r="B266" s="1" t="s">
        <v>244</v>
      </c>
      <c r="C266" s="1">
        <v>1</v>
      </c>
      <c r="D266" s="1" t="s">
        <v>106</v>
      </c>
      <c r="E266" s="1" t="s">
        <v>389</v>
      </c>
      <c r="F266" s="1" t="str">
        <f>IF(COUNTIF(D:D,"="&amp;D266)=1,"Oui","Non")</f>
        <v>Non</v>
      </c>
      <c r="G266" s="3" t="s">
        <v>436</v>
      </c>
      <c r="H266" s="1" t="s">
        <v>396</v>
      </c>
      <c r="I266" s="1" t="s">
        <v>387</v>
      </c>
      <c r="J266" s="9" t="s">
        <v>387</v>
      </c>
      <c r="K266" s="3" t="s">
        <v>388</v>
      </c>
    </row>
    <row r="267" spans="1:11" x14ac:dyDescent="0.25">
      <c r="A267" s="1" t="s">
        <v>162</v>
      </c>
      <c r="B267" s="1" t="s">
        <v>244</v>
      </c>
      <c r="C267" s="1">
        <v>1</v>
      </c>
      <c r="D267" s="1" t="s">
        <v>246</v>
      </c>
      <c r="E267" s="1" t="s">
        <v>422</v>
      </c>
      <c r="F267" s="1" t="str">
        <f>IF(COUNTIF(D:D,"="&amp;D267)=1,"Oui","Non")</f>
        <v>Oui</v>
      </c>
    </row>
    <row r="268" spans="1:11" x14ac:dyDescent="0.25">
      <c r="A268" s="1" t="s">
        <v>162</v>
      </c>
      <c r="B268" s="1" t="s">
        <v>244</v>
      </c>
      <c r="C268" s="1">
        <v>2</v>
      </c>
      <c r="D268" s="1" t="s">
        <v>247</v>
      </c>
      <c r="E268" s="1" t="s">
        <v>422</v>
      </c>
      <c r="F268" s="1" t="str">
        <f>IF(COUNTIF(D:D,"="&amp;D268)=1,"Oui","Non")</f>
        <v>Non</v>
      </c>
    </row>
    <row r="269" spans="1:11" x14ac:dyDescent="0.25">
      <c r="A269" s="1" t="s">
        <v>162</v>
      </c>
      <c r="B269" s="1" t="s">
        <v>244</v>
      </c>
      <c r="C269" s="1">
        <v>2</v>
      </c>
      <c r="D269" s="1" t="s">
        <v>248</v>
      </c>
      <c r="E269" s="1" t="s">
        <v>422</v>
      </c>
      <c r="F269" s="1" t="str">
        <f>IF(COUNTIF(D:D,"="&amp;D269)=1,"Oui","Non")</f>
        <v>Oui</v>
      </c>
    </row>
    <row r="270" spans="1:11" x14ac:dyDescent="0.25">
      <c r="A270" s="1" t="s">
        <v>162</v>
      </c>
      <c r="B270" s="1" t="s">
        <v>244</v>
      </c>
      <c r="C270" s="1">
        <v>2</v>
      </c>
      <c r="D270" s="1" t="s">
        <v>249</v>
      </c>
      <c r="E270" s="1" t="s">
        <v>422</v>
      </c>
      <c r="F270" s="1" t="str">
        <f>IF(COUNTIF(D:D,"="&amp;D270)=1,"Oui","Non")</f>
        <v>Oui</v>
      </c>
    </row>
    <row r="271" spans="1:11" x14ac:dyDescent="0.25">
      <c r="A271" s="1" t="s">
        <v>162</v>
      </c>
      <c r="B271" s="1" t="s">
        <v>244</v>
      </c>
      <c r="C271" s="1">
        <v>2</v>
      </c>
      <c r="D271" s="1" t="s">
        <v>250</v>
      </c>
      <c r="E271" s="1" t="s">
        <v>422</v>
      </c>
      <c r="F271" s="1" t="str">
        <f>IF(COUNTIF(D:D,"="&amp;D271)=1,"Oui","Non")</f>
        <v>Oui</v>
      </c>
    </row>
    <row r="272" spans="1:11" x14ac:dyDescent="0.25">
      <c r="A272" s="1" t="s">
        <v>162</v>
      </c>
      <c r="B272" s="1" t="s">
        <v>244</v>
      </c>
      <c r="C272" s="1">
        <v>3</v>
      </c>
      <c r="D272" s="1" t="s">
        <v>251</v>
      </c>
      <c r="E272" s="1" t="s">
        <v>422</v>
      </c>
      <c r="F272" s="1" t="str">
        <f>IF(COUNTIF(D:D,"="&amp;D272)=1,"Oui","Non")</f>
        <v>Oui</v>
      </c>
    </row>
    <row r="273" spans="1:11" x14ac:dyDescent="0.25">
      <c r="A273" s="1" t="s">
        <v>162</v>
      </c>
      <c r="B273" s="1" t="s">
        <v>244</v>
      </c>
      <c r="C273" s="1">
        <v>3</v>
      </c>
      <c r="D273" s="1" t="s">
        <v>252</v>
      </c>
      <c r="E273" s="1" t="s">
        <v>422</v>
      </c>
      <c r="F273" s="1" t="str">
        <f>IF(COUNTIF(D:D,"="&amp;D273)=1,"Oui","Non")</f>
        <v>Oui</v>
      </c>
    </row>
    <row r="274" spans="1:11" x14ac:dyDescent="0.25">
      <c r="A274" s="1" t="s">
        <v>162</v>
      </c>
      <c r="B274" s="1" t="s">
        <v>244</v>
      </c>
      <c r="C274" s="1">
        <v>3</v>
      </c>
      <c r="D274" s="1" t="s">
        <v>253</v>
      </c>
      <c r="E274" s="1" t="s">
        <v>422</v>
      </c>
      <c r="F274" s="1" t="str">
        <f>IF(COUNTIF(D:D,"="&amp;D274)=1,"Oui","Non")</f>
        <v>Oui</v>
      </c>
    </row>
    <row r="275" spans="1:11" x14ac:dyDescent="0.25">
      <c r="A275" s="1" t="s">
        <v>162</v>
      </c>
      <c r="B275" s="1" t="s">
        <v>244</v>
      </c>
      <c r="C275" s="1">
        <v>4</v>
      </c>
      <c r="D275" s="1" t="s">
        <v>15</v>
      </c>
      <c r="E275" s="1" t="s">
        <v>402</v>
      </c>
      <c r="F275" s="1" t="str">
        <f>IF(COUNTIF(D:D,"="&amp;D275)=1,"Oui","Non")</f>
        <v>Non</v>
      </c>
      <c r="G275" s="3" t="s">
        <v>403</v>
      </c>
      <c r="H275" s="1" t="s">
        <v>390</v>
      </c>
      <c r="I275" s="1" t="s">
        <v>404</v>
      </c>
      <c r="J275" s="9">
        <v>6</v>
      </c>
      <c r="K275" s="3" t="s">
        <v>388</v>
      </c>
    </row>
    <row r="276" spans="1:11" x14ac:dyDescent="0.25">
      <c r="A276" s="1" t="s">
        <v>162</v>
      </c>
      <c r="B276" s="1" t="s">
        <v>244</v>
      </c>
      <c r="C276" s="1">
        <v>4</v>
      </c>
      <c r="D276" s="1" t="s">
        <v>254</v>
      </c>
      <c r="E276" s="1" t="s">
        <v>422</v>
      </c>
      <c r="F276" s="1" t="str">
        <f>IF(COUNTIF(D:D,"="&amp;D276)=1,"Oui","Non")</f>
        <v>Oui</v>
      </c>
    </row>
    <row r="277" spans="1:11" x14ac:dyDescent="0.25">
      <c r="A277" s="1" t="s">
        <v>162</v>
      </c>
      <c r="B277" s="1" t="s">
        <v>244</v>
      </c>
      <c r="C277" s="1">
        <v>4</v>
      </c>
      <c r="D277" s="1" t="s">
        <v>55</v>
      </c>
      <c r="E277" s="1" t="s">
        <v>422</v>
      </c>
      <c r="F277" s="1" t="str">
        <f>IF(COUNTIF(D:D,"="&amp;D277)=1,"Oui","Non")</f>
        <v>Non</v>
      </c>
      <c r="G277" s="3" t="s">
        <v>423</v>
      </c>
      <c r="H277" s="1" t="s">
        <v>424</v>
      </c>
      <c r="I277" s="1" t="s">
        <v>387</v>
      </c>
      <c r="J277" s="9" t="s">
        <v>387</v>
      </c>
      <c r="K277" s="3" t="s">
        <v>398</v>
      </c>
    </row>
    <row r="278" spans="1:11" ht="30" x14ac:dyDescent="0.25">
      <c r="A278" s="1" t="s">
        <v>162</v>
      </c>
      <c r="B278" s="1" t="s">
        <v>244</v>
      </c>
      <c r="C278" s="1">
        <v>4</v>
      </c>
      <c r="D278" s="1" t="s">
        <v>255</v>
      </c>
      <c r="E278" s="1" t="s">
        <v>422</v>
      </c>
      <c r="F278" s="1" t="str">
        <f>IF(COUNTIF(D:D,"="&amp;D278)=1,"Oui","Non")</f>
        <v>Non</v>
      </c>
      <c r="G278" s="3" t="s">
        <v>468</v>
      </c>
      <c r="H278" s="1" t="s">
        <v>390</v>
      </c>
      <c r="I278" s="1" t="s">
        <v>488</v>
      </c>
      <c r="J278" s="9">
        <v>8</v>
      </c>
      <c r="K278" s="3" t="s">
        <v>469</v>
      </c>
    </row>
    <row r="279" spans="1:11" x14ac:dyDescent="0.25">
      <c r="A279" s="1" t="s">
        <v>162</v>
      </c>
      <c r="B279" s="1" t="s">
        <v>244</v>
      </c>
      <c r="C279" s="1">
        <v>5</v>
      </c>
      <c r="D279" s="1" t="s">
        <v>256</v>
      </c>
      <c r="E279" s="1" t="s">
        <v>422</v>
      </c>
      <c r="F279" s="1" t="str">
        <f>IF(COUNTIF(D:D,"="&amp;D279)=1,"Oui","Non")</f>
        <v>Oui</v>
      </c>
    </row>
    <row r="280" spans="1:11" x14ac:dyDescent="0.25">
      <c r="A280" s="1" t="s">
        <v>162</v>
      </c>
      <c r="B280" s="1" t="s">
        <v>244</v>
      </c>
      <c r="C280" s="1">
        <v>5</v>
      </c>
      <c r="D280" s="1" t="s">
        <v>257</v>
      </c>
      <c r="E280" s="1" t="s">
        <v>422</v>
      </c>
      <c r="F280" s="1" t="str">
        <f>IF(COUNTIF(D:D,"="&amp;D280)=1,"Oui","Non")</f>
        <v>Oui</v>
      </c>
    </row>
    <row r="281" spans="1:11" x14ac:dyDescent="0.25">
      <c r="A281" s="1" t="s">
        <v>162</v>
      </c>
      <c r="B281" s="1" t="s">
        <v>244</v>
      </c>
      <c r="C281" s="1">
        <v>5</v>
      </c>
      <c r="D281" s="1" t="s">
        <v>258</v>
      </c>
      <c r="E281" s="1" t="s">
        <v>422</v>
      </c>
      <c r="F281" s="1" t="str">
        <f>IF(COUNTIF(D:D,"="&amp;D281)=1,"Oui","Non")</f>
        <v>Oui</v>
      </c>
    </row>
    <row r="282" spans="1:11" x14ac:dyDescent="0.25">
      <c r="A282" s="1" t="s">
        <v>162</v>
      </c>
      <c r="B282" s="1" t="s">
        <v>244</v>
      </c>
      <c r="C282" s="1">
        <v>6</v>
      </c>
      <c r="D282" s="1" t="s">
        <v>259</v>
      </c>
      <c r="E282" s="1" t="s">
        <v>422</v>
      </c>
      <c r="F282" s="1" t="str">
        <f>IF(COUNTIF(D:D,"="&amp;D282)=1,"Oui","Non")</f>
        <v>Oui</v>
      </c>
    </row>
    <row r="283" spans="1:11" hidden="1" x14ac:dyDescent="0.25">
      <c r="A283" s="1" t="s">
        <v>162</v>
      </c>
      <c r="B283" s="1" t="s">
        <v>260</v>
      </c>
      <c r="C283" s="1">
        <v>1</v>
      </c>
      <c r="D283" s="1" t="s">
        <v>261</v>
      </c>
      <c r="E283" s="1" t="s">
        <v>422</v>
      </c>
      <c r="F283" s="1" t="str">
        <f>IF(COUNTIF(D:D,"="&amp;D283)=1,"Oui","Non")</f>
        <v>Oui</v>
      </c>
    </row>
    <row r="284" spans="1:11" hidden="1" x14ac:dyDescent="0.25">
      <c r="A284" s="1" t="s">
        <v>162</v>
      </c>
      <c r="B284" s="1" t="s">
        <v>260</v>
      </c>
      <c r="C284" s="1">
        <v>1</v>
      </c>
      <c r="D284" s="1" t="s">
        <v>262</v>
      </c>
      <c r="E284" s="1" t="s">
        <v>422</v>
      </c>
      <c r="F284" s="1" t="str">
        <f>IF(COUNTIF(D:D,"="&amp;D284)=1,"Oui","Non")</f>
        <v>Oui</v>
      </c>
    </row>
    <row r="285" spans="1:11" hidden="1" x14ac:dyDescent="0.25">
      <c r="A285" s="1" t="s">
        <v>162</v>
      </c>
      <c r="B285" s="1" t="s">
        <v>260</v>
      </c>
      <c r="C285" s="1">
        <v>1</v>
      </c>
      <c r="D285" s="1" t="s">
        <v>45</v>
      </c>
      <c r="E285" s="1" t="s">
        <v>412</v>
      </c>
      <c r="F285" s="1" t="str">
        <f>IF(COUNTIF(D:D,"="&amp;D285)=1,"Oui","Non")</f>
        <v>Non</v>
      </c>
      <c r="G285" s="3" t="s">
        <v>417</v>
      </c>
      <c r="H285" s="1" t="s">
        <v>424</v>
      </c>
      <c r="I285" s="1" t="s">
        <v>387</v>
      </c>
      <c r="J285" s="9" t="s">
        <v>387</v>
      </c>
      <c r="K285" s="3" t="s">
        <v>388</v>
      </c>
    </row>
    <row r="286" spans="1:11" ht="30" hidden="1" x14ac:dyDescent="0.25">
      <c r="A286" s="1" t="s">
        <v>162</v>
      </c>
      <c r="B286" s="1" t="s">
        <v>260</v>
      </c>
      <c r="C286" s="1">
        <v>1</v>
      </c>
      <c r="D286" s="1" t="s">
        <v>87</v>
      </c>
      <c r="E286" s="1" t="s">
        <v>412</v>
      </c>
      <c r="F286" s="1" t="str">
        <f>IF(COUNTIF(D:D,"="&amp;D286)=1,"Oui","Non")</f>
        <v>Non</v>
      </c>
      <c r="G286" s="3" t="s">
        <v>408</v>
      </c>
      <c r="H286" s="1" t="s">
        <v>390</v>
      </c>
      <c r="I286" s="1" t="s">
        <v>409</v>
      </c>
      <c r="J286" s="9" t="s">
        <v>475</v>
      </c>
      <c r="K286" s="3" t="s">
        <v>398</v>
      </c>
    </row>
    <row r="287" spans="1:11" hidden="1" x14ac:dyDescent="0.25">
      <c r="A287" s="1" t="s">
        <v>162</v>
      </c>
      <c r="B287" s="1" t="s">
        <v>260</v>
      </c>
      <c r="C287" s="1">
        <v>1</v>
      </c>
      <c r="D287" s="1" t="s">
        <v>263</v>
      </c>
      <c r="E287" s="1" t="s">
        <v>422</v>
      </c>
      <c r="F287" s="1" t="str">
        <f>IF(COUNTIF(D:D,"="&amp;D287)=1,"Oui","Non")</f>
        <v>Oui</v>
      </c>
    </row>
    <row r="288" spans="1:11" hidden="1" x14ac:dyDescent="0.25">
      <c r="A288" s="1" t="s">
        <v>162</v>
      </c>
      <c r="B288" s="1" t="s">
        <v>260</v>
      </c>
      <c r="C288" s="1">
        <v>2</v>
      </c>
      <c r="D288" s="1" t="s">
        <v>264</v>
      </c>
      <c r="E288" s="1" t="s">
        <v>422</v>
      </c>
      <c r="F288" s="1" t="str">
        <f>IF(COUNTIF(D:D,"="&amp;D288)=1,"Oui","Non")</f>
        <v>Oui</v>
      </c>
    </row>
    <row r="289" spans="1:11" hidden="1" x14ac:dyDescent="0.25">
      <c r="A289" s="1" t="s">
        <v>162</v>
      </c>
      <c r="B289" s="1" t="s">
        <v>260</v>
      </c>
      <c r="C289" s="1">
        <v>2</v>
      </c>
      <c r="D289" s="1" t="s">
        <v>265</v>
      </c>
      <c r="E289" s="1" t="s">
        <v>422</v>
      </c>
      <c r="F289" s="1" t="str">
        <f>IF(COUNTIF(D:D,"="&amp;D289)=1,"Oui","Non")</f>
        <v>Oui</v>
      </c>
    </row>
    <row r="290" spans="1:11" hidden="1" x14ac:dyDescent="0.25">
      <c r="A290" s="1" t="s">
        <v>162</v>
      </c>
      <c r="B290" s="1" t="s">
        <v>260</v>
      </c>
      <c r="C290" s="1">
        <v>2</v>
      </c>
      <c r="D290" s="1" t="s">
        <v>27</v>
      </c>
      <c r="E290" s="1" t="s">
        <v>402</v>
      </c>
      <c r="F290" s="1" t="str">
        <f>IF(COUNTIF(D:D,"="&amp;D290)=1,"Oui","Non")</f>
        <v>Non</v>
      </c>
      <c r="G290" s="3" t="s">
        <v>410</v>
      </c>
      <c r="H290" s="1" t="s">
        <v>390</v>
      </c>
      <c r="I290" s="1" t="s">
        <v>387</v>
      </c>
      <c r="J290" s="9" t="s">
        <v>387</v>
      </c>
      <c r="K290" s="3" t="s">
        <v>411</v>
      </c>
    </row>
    <row r="291" spans="1:11" hidden="1" x14ac:dyDescent="0.25">
      <c r="A291" s="1" t="s">
        <v>162</v>
      </c>
      <c r="B291" s="1" t="s">
        <v>260</v>
      </c>
      <c r="C291" s="1">
        <v>2</v>
      </c>
      <c r="D291" s="1" t="s">
        <v>266</v>
      </c>
      <c r="E291" s="1" t="s">
        <v>422</v>
      </c>
      <c r="F291" s="1" t="str">
        <f>IF(COUNTIF(D:D,"="&amp;D291)=1,"Oui","Non")</f>
        <v>Oui</v>
      </c>
    </row>
    <row r="292" spans="1:11" ht="30" hidden="1" x14ac:dyDescent="0.25">
      <c r="A292" s="1" t="s">
        <v>162</v>
      </c>
      <c r="B292" s="1" t="s">
        <v>260</v>
      </c>
      <c r="C292" s="1">
        <v>2</v>
      </c>
      <c r="D292" s="1" t="s">
        <v>68</v>
      </c>
      <c r="E292" s="1" t="s">
        <v>573</v>
      </c>
      <c r="F292" s="1" t="str">
        <f>IF(COUNTIF(D:D,"="&amp;D292)=1,"Oui","Non")</f>
        <v>Non</v>
      </c>
      <c r="G292" s="3" t="s">
        <v>431</v>
      </c>
      <c r="H292" s="1" t="s">
        <v>390</v>
      </c>
      <c r="I292" s="1" t="s">
        <v>387</v>
      </c>
      <c r="J292" s="9" t="s">
        <v>387</v>
      </c>
      <c r="K292" s="3" t="s">
        <v>421</v>
      </c>
    </row>
    <row r="293" spans="1:11" hidden="1" x14ac:dyDescent="0.25">
      <c r="A293" s="1" t="s">
        <v>162</v>
      </c>
      <c r="B293" s="1" t="s">
        <v>260</v>
      </c>
      <c r="C293" s="1">
        <v>3</v>
      </c>
      <c r="D293" s="1" t="s">
        <v>267</v>
      </c>
      <c r="E293" s="1" t="s">
        <v>422</v>
      </c>
      <c r="F293" s="1" t="str">
        <f>IF(COUNTIF(D:D,"="&amp;D293)=1,"Oui","Non")</f>
        <v>Oui</v>
      </c>
    </row>
    <row r="294" spans="1:11" hidden="1" x14ac:dyDescent="0.25">
      <c r="A294" s="1" t="s">
        <v>162</v>
      </c>
      <c r="B294" s="1" t="s">
        <v>260</v>
      </c>
      <c r="C294" s="1">
        <v>3</v>
      </c>
      <c r="D294" s="1" t="s">
        <v>268</v>
      </c>
      <c r="E294" s="1" t="s">
        <v>422</v>
      </c>
      <c r="F294" s="1" t="str">
        <f>IF(COUNTIF(D:D,"="&amp;D294)=1,"Oui","Non")</f>
        <v>Oui</v>
      </c>
    </row>
    <row r="295" spans="1:11" hidden="1" x14ac:dyDescent="0.25">
      <c r="A295" s="1" t="s">
        <v>162</v>
      </c>
      <c r="B295" s="1" t="s">
        <v>260</v>
      </c>
      <c r="C295" s="1">
        <v>3</v>
      </c>
      <c r="D295" s="1" t="s">
        <v>269</v>
      </c>
      <c r="E295" s="1" t="s">
        <v>422</v>
      </c>
      <c r="F295" s="1" t="str">
        <f>IF(COUNTIF(D:D,"="&amp;D295)=1,"Oui","Non")</f>
        <v>Oui</v>
      </c>
    </row>
    <row r="296" spans="1:11" hidden="1" x14ac:dyDescent="0.25">
      <c r="A296" s="1" t="s">
        <v>162</v>
      </c>
      <c r="B296" s="1" t="s">
        <v>260</v>
      </c>
      <c r="C296" s="1">
        <v>3</v>
      </c>
      <c r="D296" s="1" t="s">
        <v>270</v>
      </c>
      <c r="E296" s="1" t="s">
        <v>422</v>
      </c>
      <c r="F296" s="1" t="str">
        <f>IF(COUNTIF(D:D,"="&amp;D296)=1,"Oui","Non")</f>
        <v>Oui</v>
      </c>
    </row>
    <row r="297" spans="1:11" hidden="1" x14ac:dyDescent="0.25">
      <c r="A297" s="1" t="s">
        <v>162</v>
      </c>
      <c r="B297" s="1" t="s">
        <v>260</v>
      </c>
      <c r="C297" s="1">
        <v>4</v>
      </c>
      <c r="D297" s="1" t="s">
        <v>271</v>
      </c>
      <c r="E297" s="1" t="s">
        <v>422</v>
      </c>
      <c r="F297" s="1" t="str">
        <f>IF(COUNTIF(D:D,"="&amp;D297)=1,"Oui","Non")</f>
        <v>Oui</v>
      </c>
    </row>
    <row r="298" spans="1:11" hidden="1" x14ac:dyDescent="0.25">
      <c r="A298" s="1" t="s">
        <v>162</v>
      </c>
      <c r="B298" s="1" t="s">
        <v>260</v>
      </c>
      <c r="C298" s="1">
        <v>4</v>
      </c>
      <c r="D298" s="1" t="s">
        <v>272</v>
      </c>
      <c r="E298" s="1" t="s">
        <v>422</v>
      </c>
      <c r="F298" s="1" t="str">
        <f>IF(COUNTIF(D:D,"="&amp;D298)=1,"Oui","Non")</f>
        <v>Oui</v>
      </c>
    </row>
    <row r="299" spans="1:11" hidden="1" x14ac:dyDescent="0.25">
      <c r="A299" s="1" t="s">
        <v>162</v>
      </c>
      <c r="B299" s="1" t="s">
        <v>260</v>
      </c>
      <c r="C299" s="1">
        <v>4</v>
      </c>
      <c r="D299" s="1" t="s">
        <v>58</v>
      </c>
      <c r="E299" s="1" t="s">
        <v>425</v>
      </c>
      <c r="F299" s="1" t="str">
        <f>IF(COUNTIF(D:D,"="&amp;D299)=1,"Oui","Non")</f>
        <v>Non</v>
      </c>
      <c r="G299" s="3" t="s">
        <v>426</v>
      </c>
      <c r="H299" s="1" t="s">
        <v>390</v>
      </c>
      <c r="I299" s="1" t="s">
        <v>387</v>
      </c>
      <c r="J299" s="9" t="s">
        <v>387</v>
      </c>
      <c r="K299" s="3" t="s">
        <v>411</v>
      </c>
    </row>
    <row r="300" spans="1:11" hidden="1" x14ac:dyDescent="0.25">
      <c r="A300" s="1" t="s">
        <v>162</v>
      </c>
      <c r="B300" s="1" t="s">
        <v>260</v>
      </c>
      <c r="C300" s="1">
        <v>5</v>
      </c>
      <c r="D300" s="1" t="s">
        <v>77</v>
      </c>
      <c r="E300" s="1" t="s">
        <v>402</v>
      </c>
      <c r="F300" s="1" t="str">
        <f>IF(COUNTIF(D:D,"="&amp;D300)=1,"Oui","Non")</f>
        <v>Non</v>
      </c>
      <c r="G300" s="3" t="s">
        <v>432</v>
      </c>
      <c r="H300" s="1" t="s">
        <v>424</v>
      </c>
      <c r="I300" s="1" t="s">
        <v>483</v>
      </c>
      <c r="J300" s="9">
        <v>6</v>
      </c>
      <c r="K300" s="3" t="s">
        <v>388</v>
      </c>
    </row>
    <row r="301" spans="1:11" hidden="1" x14ac:dyDescent="0.25">
      <c r="A301" s="1" t="s">
        <v>162</v>
      </c>
      <c r="B301" s="1" t="s">
        <v>260</v>
      </c>
      <c r="C301" s="1">
        <v>5</v>
      </c>
      <c r="D301" s="1" t="s">
        <v>273</v>
      </c>
      <c r="E301" s="1" t="s">
        <v>422</v>
      </c>
      <c r="F301" s="1" t="str">
        <f>IF(COUNTIF(D:D,"="&amp;D301)=1,"Oui","Non")</f>
        <v>Oui</v>
      </c>
    </row>
    <row r="302" spans="1:11" hidden="1" x14ac:dyDescent="0.25">
      <c r="A302" s="1" t="s">
        <v>162</v>
      </c>
      <c r="B302" s="1" t="s">
        <v>260</v>
      </c>
      <c r="C302" s="1">
        <v>5</v>
      </c>
      <c r="D302" s="1" t="s">
        <v>274</v>
      </c>
      <c r="E302" s="1" t="s">
        <v>422</v>
      </c>
      <c r="F302" s="1" t="str">
        <f>IF(COUNTIF(D:D,"="&amp;D302)=1,"Oui","Non")</f>
        <v>Oui</v>
      </c>
    </row>
    <row r="303" spans="1:11" hidden="1" x14ac:dyDescent="0.25">
      <c r="A303" s="1" t="s">
        <v>162</v>
      </c>
      <c r="B303" s="1" t="s">
        <v>275</v>
      </c>
      <c r="C303" s="1">
        <v>1</v>
      </c>
      <c r="D303" s="1" t="s">
        <v>276</v>
      </c>
      <c r="E303" s="1" t="s">
        <v>422</v>
      </c>
      <c r="F303" s="1" t="str">
        <f>IF(COUNTIF(D:D,"="&amp;D303)=1,"Oui","Non")</f>
        <v>Oui</v>
      </c>
    </row>
    <row r="304" spans="1:11" hidden="1" x14ac:dyDescent="0.25">
      <c r="A304" s="1" t="s">
        <v>162</v>
      </c>
      <c r="B304" s="1" t="s">
        <v>275</v>
      </c>
      <c r="C304" s="1">
        <v>1</v>
      </c>
      <c r="D304" s="1" t="s">
        <v>277</v>
      </c>
      <c r="E304" s="1" t="s">
        <v>422</v>
      </c>
      <c r="F304" s="1" t="str">
        <f>IF(COUNTIF(D:D,"="&amp;D304)=1,"Oui","Non")</f>
        <v>Oui</v>
      </c>
    </row>
    <row r="305" spans="1:11" hidden="1" x14ac:dyDescent="0.25">
      <c r="A305" s="1" t="s">
        <v>162</v>
      </c>
      <c r="B305" s="1" t="s">
        <v>275</v>
      </c>
      <c r="C305" s="1">
        <v>1</v>
      </c>
      <c r="D305" s="1" t="s">
        <v>62</v>
      </c>
      <c r="E305" s="1" t="s">
        <v>427</v>
      </c>
      <c r="F305" s="1" t="str">
        <f>IF(COUNTIF(D:D,"="&amp;D305)=1,"Oui","Non")</f>
        <v>Non</v>
      </c>
      <c r="G305" s="3" t="s">
        <v>428</v>
      </c>
      <c r="H305" s="1" t="s">
        <v>390</v>
      </c>
      <c r="I305" s="1" t="s">
        <v>387</v>
      </c>
      <c r="J305" s="9" t="s">
        <v>387</v>
      </c>
      <c r="K305" s="3" t="s">
        <v>411</v>
      </c>
    </row>
    <row r="306" spans="1:11" hidden="1" x14ac:dyDescent="0.25">
      <c r="A306" s="1" t="s">
        <v>162</v>
      </c>
      <c r="B306" s="1" t="s">
        <v>275</v>
      </c>
      <c r="C306" s="1">
        <v>1</v>
      </c>
      <c r="D306" s="1" t="s">
        <v>278</v>
      </c>
      <c r="E306" s="1" t="s">
        <v>422</v>
      </c>
      <c r="F306" s="1" t="str">
        <f>IF(COUNTIF(D:D,"="&amp;D306)=1,"Oui","Non")</f>
        <v>Oui</v>
      </c>
    </row>
    <row r="307" spans="1:11" hidden="1" x14ac:dyDescent="0.25">
      <c r="A307" s="1" t="s">
        <v>162</v>
      </c>
      <c r="B307" s="1" t="s">
        <v>275</v>
      </c>
      <c r="C307" s="1">
        <v>1</v>
      </c>
      <c r="D307" s="1" t="s">
        <v>279</v>
      </c>
      <c r="E307" s="1" t="s">
        <v>422</v>
      </c>
      <c r="F307" s="1" t="str">
        <f>IF(COUNTIF(D:D,"="&amp;D307)=1,"Oui","Non")</f>
        <v>Oui</v>
      </c>
    </row>
    <row r="308" spans="1:11" hidden="1" x14ac:dyDescent="0.25">
      <c r="A308" s="1" t="s">
        <v>162</v>
      </c>
      <c r="B308" s="1" t="s">
        <v>275</v>
      </c>
      <c r="C308" s="1">
        <v>2</v>
      </c>
      <c r="D308" s="1" t="s">
        <v>280</v>
      </c>
      <c r="E308" s="1" t="s">
        <v>422</v>
      </c>
      <c r="F308" s="1" t="str">
        <f>IF(COUNTIF(D:D,"="&amp;D308)=1,"Oui","Non")</f>
        <v>Oui</v>
      </c>
    </row>
    <row r="309" spans="1:11" ht="30" hidden="1" x14ac:dyDescent="0.25">
      <c r="A309" s="1" t="s">
        <v>162</v>
      </c>
      <c r="B309" s="1" t="s">
        <v>275</v>
      </c>
      <c r="C309" s="1">
        <v>2</v>
      </c>
      <c r="D309" s="1" t="s">
        <v>129</v>
      </c>
      <c r="E309" s="1" t="s">
        <v>422</v>
      </c>
      <c r="F309" s="1" t="str">
        <f>IF(COUNTIF(D:D,"="&amp;D309)=1,"Oui","Non")</f>
        <v>Non</v>
      </c>
      <c r="G309" s="3" t="s">
        <v>447</v>
      </c>
      <c r="H309" s="1" t="s">
        <v>424</v>
      </c>
      <c r="I309" s="1" t="s">
        <v>445</v>
      </c>
      <c r="J309" s="9">
        <v>6</v>
      </c>
      <c r="K309" s="3" t="s">
        <v>446</v>
      </c>
    </row>
    <row r="310" spans="1:11" hidden="1" x14ac:dyDescent="0.25">
      <c r="A310" s="1" t="s">
        <v>162</v>
      </c>
      <c r="B310" s="1" t="s">
        <v>275</v>
      </c>
      <c r="C310" s="1">
        <v>2</v>
      </c>
      <c r="D310" s="1" t="s">
        <v>281</v>
      </c>
      <c r="E310" s="1" t="s">
        <v>422</v>
      </c>
      <c r="F310" s="1" t="str">
        <f>IF(COUNTIF(D:D,"="&amp;D310)=1,"Oui","Non")</f>
        <v>Oui</v>
      </c>
    </row>
    <row r="311" spans="1:11" ht="30" hidden="1" x14ac:dyDescent="0.25">
      <c r="A311" s="1" t="s">
        <v>162</v>
      </c>
      <c r="B311" s="1" t="s">
        <v>275</v>
      </c>
      <c r="C311" s="1">
        <v>2</v>
      </c>
      <c r="D311" s="1" t="s">
        <v>68</v>
      </c>
      <c r="E311" s="1" t="s">
        <v>573</v>
      </c>
      <c r="F311" s="1" t="str">
        <f>IF(COUNTIF(D:D,"="&amp;D311)=1,"Oui","Non")</f>
        <v>Non</v>
      </c>
      <c r="G311" s="3" t="s">
        <v>431</v>
      </c>
      <c r="H311" s="1" t="s">
        <v>390</v>
      </c>
      <c r="I311" s="1" t="s">
        <v>387</v>
      </c>
      <c r="J311" s="9" t="s">
        <v>387</v>
      </c>
      <c r="K311" s="3" t="s">
        <v>421</v>
      </c>
    </row>
    <row r="312" spans="1:11" hidden="1" x14ac:dyDescent="0.25">
      <c r="A312" s="1" t="s">
        <v>162</v>
      </c>
      <c r="B312" s="1" t="s">
        <v>275</v>
      </c>
      <c r="C312" s="1">
        <v>3</v>
      </c>
      <c r="D312" s="1" t="s">
        <v>282</v>
      </c>
      <c r="E312" s="1" t="s">
        <v>422</v>
      </c>
      <c r="F312" s="1" t="str">
        <f>IF(COUNTIF(D:D,"="&amp;D312)=1,"Oui","Non")</f>
        <v>Oui</v>
      </c>
    </row>
    <row r="313" spans="1:11" hidden="1" x14ac:dyDescent="0.25">
      <c r="A313" s="1" t="s">
        <v>162</v>
      </c>
      <c r="B313" s="1" t="s">
        <v>275</v>
      </c>
      <c r="C313" s="1">
        <v>3</v>
      </c>
      <c r="D313" s="1" t="s">
        <v>283</v>
      </c>
      <c r="E313" s="1" t="s">
        <v>422</v>
      </c>
      <c r="F313" s="1" t="str">
        <f>IF(COUNTIF(D:D,"="&amp;D313)=1,"Oui","Non")</f>
        <v>Oui</v>
      </c>
    </row>
    <row r="314" spans="1:11" ht="30" hidden="1" x14ac:dyDescent="0.25">
      <c r="A314" s="1" t="s">
        <v>162</v>
      </c>
      <c r="B314" s="1" t="s">
        <v>275</v>
      </c>
      <c r="C314" s="1">
        <v>3</v>
      </c>
      <c r="D314" s="1" t="s">
        <v>284</v>
      </c>
      <c r="E314" s="1" t="s">
        <v>311</v>
      </c>
      <c r="F314" s="1" t="str">
        <f>IF(COUNTIF(D:D,"="&amp;D314)=1,"Oui","Non")</f>
        <v>Non</v>
      </c>
      <c r="G314" s="3" t="s">
        <v>470</v>
      </c>
      <c r="H314" s="1" t="s">
        <v>390</v>
      </c>
      <c r="I314" s="1" t="s">
        <v>477</v>
      </c>
      <c r="J314" s="9">
        <v>7</v>
      </c>
      <c r="K314" s="3" t="s">
        <v>398</v>
      </c>
    </row>
    <row r="315" spans="1:11" hidden="1" x14ac:dyDescent="0.25">
      <c r="A315" s="1" t="s">
        <v>162</v>
      </c>
      <c r="B315" s="1" t="s">
        <v>275</v>
      </c>
      <c r="C315" s="1">
        <v>3</v>
      </c>
      <c r="D315" s="1" t="s">
        <v>285</v>
      </c>
      <c r="E315" s="1" t="s">
        <v>422</v>
      </c>
      <c r="F315" s="1" t="str">
        <f>IF(COUNTIF(D:D,"="&amp;D315)=1,"Oui","Non")</f>
        <v>Oui</v>
      </c>
    </row>
    <row r="316" spans="1:11" hidden="1" x14ac:dyDescent="0.25">
      <c r="A316" s="1" t="s">
        <v>162</v>
      </c>
      <c r="B316" s="1" t="s">
        <v>275</v>
      </c>
      <c r="C316" s="1">
        <v>4</v>
      </c>
      <c r="D316" s="1" t="s">
        <v>286</v>
      </c>
      <c r="E316" s="1" t="s">
        <v>422</v>
      </c>
      <c r="F316" s="1" t="str">
        <f>IF(COUNTIF(D:D,"="&amp;D316)=1,"Oui","Non")</f>
        <v>Oui</v>
      </c>
    </row>
    <row r="317" spans="1:11" hidden="1" x14ac:dyDescent="0.25">
      <c r="A317" s="1" t="s">
        <v>162</v>
      </c>
      <c r="B317" s="1" t="s">
        <v>275</v>
      </c>
      <c r="C317" s="1">
        <v>4</v>
      </c>
      <c r="D317" s="1" t="s">
        <v>287</v>
      </c>
      <c r="E317" s="1" t="s">
        <v>422</v>
      </c>
      <c r="F317" s="1" t="str">
        <f>IF(COUNTIF(D:D,"="&amp;D317)=1,"Oui","Non")</f>
        <v>Oui</v>
      </c>
    </row>
    <row r="318" spans="1:11" hidden="1" x14ac:dyDescent="0.25">
      <c r="A318" s="1" t="s">
        <v>162</v>
      </c>
      <c r="B318" s="1" t="s">
        <v>275</v>
      </c>
      <c r="C318" s="1">
        <v>4</v>
      </c>
      <c r="D318" s="1" t="s">
        <v>288</v>
      </c>
      <c r="E318" s="1" t="s">
        <v>422</v>
      </c>
      <c r="F318" s="1" t="str">
        <f>IF(COUNTIF(D:D,"="&amp;D318)=1,"Oui","Non")</f>
        <v>Oui</v>
      </c>
    </row>
    <row r="319" spans="1:11" hidden="1" x14ac:dyDescent="0.25">
      <c r="A319" s="1" t="s">
        <v>162</v>
      </c>
      <c r="B319" s="1" t="s">
        <v>275</v>
      </c>
      <c r="C319" s="1">
        <v>5</v>
      </c>
      <c r="D319" s="1" t="s">
        <v>289</v>
      </c>
      <c r="E319" s="1" t="s">
        <v>422</v>
      </c>
      <c r="F319" s="1" t="str">
        <f>IF(COUNTIF(D:D,"="&amp;D319)=1,"Oui","Non")</f>
        <v>Oui</v>
      </c>
    </row>
    <row r="320" spans="1:11" hidden="1" x14ac:dyDescent="0.25">
      <c r="A320" s="1" t="s">
        <v>162</v>
      </c>
      <c r="B320" s="1" t="s">
        <v>275</v>
      </c>
      <c r="C320" s="1">
        <v>5</v>
      </c>
      <c r="D320" s="1" t="s">
        <v>290</v>
      </c>
      <c r="E320" s="1" t="s">
        <v>422</v>
      </c>
      <c r="F320" s="1" t="str">
        <f>IF(COUNTIF(D:D,"="&amp;D320)=1,"Oui","Non")</f>
        <v>Oui</v>
      </c>
    </row>
    <row r="321" spans="1:11" hidden="1" x14ac:dyDescent="0.25">
      <c r="A321" s="1" t="s">
        <v>162</v>
      </c>
      <c r="B321" s="1" t="s">
        <v>275</v>
      </c>
      <c r="C321" s="1">
        <v>5</v>
      </c>
      <c r="D321" s="1" t="s">
        <v>291</v>
      </c>
      <c r="E321" s="1" t="s">
        <v>422</v>
      </c>
      <c r="F321" s="1" t="str">
        <f>IF(COUNTIF(D:D,"="&amp;D321)=1,"Oui","Non")</f>
        <v>Oui</v>
      </c>
    </row>
    <row r="322" spans="1:11" hidden="1" x14ac:dyDescent="0.25">
      <c r="A322" s="1" t="s">
        <v>162</v>
      </c>
      <c r="B322" s="1" t="s">
        <v>275</v>
      </c>
      <c r="C322" s="1">
        <v>6</v>
      </c>
      <c r="D322" s="1" t="s">
        <v>292</v>
      </c>
      <c r="E322" s="1" t="s">
        <v>422</v>
      </c>
      <c r="F322" s="1" t="str">
        <f>IF(COUNTIF(D:D,"="&amp;D322)=1,"Oui","Non")</f>
        <v>Oui</v>
      </c>
    </row>
    <row r="323" spans="1:11" hidden="1" x14ac:dyDescent="0.25">
      <c r="A323" s="1" t="s">
        <v>162</v>
      </c>
      <c r="B323" s="1" t="s">
        <v>293</v>
      </c>
      <c r="C323" s="1">
        <v>1</v>
      </c>
      <c r="D323" s="1" t="s">
        <v>294</v>
      </c>
      <c r="E323" s="1" t="s">
        <v>305</v>
      </c>
      <c r="F323" s="1" t="str">
        <f>IF(COUNTIF(D:D,"="&amp;D323)=1,"Oui","Non")</f>
        <v>Oui</v>
      </c>
    </row>
    <row r="324" spans="1:11" hidden="1" x14ac:dyDescent="0.25">
      <c r="A324" s="1" t="s">
        <v>162</v>
      </c>
      <c r="B324" s="1" t="s">
        <v>293</v>
      </c>
      <c r="C324" s="1">
        <v>1</v>
      </c>
      <c r="D324" s="1" t="s">
        <v>295</v>
      </c>
      <c r="E324" s="1" t="s">
        <v>296</v>
      </c>
      <c r="F324" s="1" t="str">
        <f>IF(COUNTIF(D:D,"="&amp;D324)=1,"Oui","Non")</f>
        <v>Oui</v>
      </c>
    </row>
    <row r="325" spans="1:11" hidden="1" x14ac:dyDescent="0.25">
      <c r="A325" s="1" t="s">
        <v>162</v>
      </c>
      <c r="B325" s="1" t="s">
        <v>293</v>
      </c>
      <c r="C325" s="1">
        <v>1</v>
      </c>
      <c r="D325" s="1" t="s">
        <v>297</v>
      </c>
      <c r="E325" s="1" t="s">
        <v>296</v>
      </c>
      <c r="F325" s="1" t="str">
        <f>IF(COUNTIF(D:D,"="&amp;D325)=1,"Oui","Non")</f>
        <v>Oui</v>
      </c>
    </row>
    <row r="326" spans="1:11" hidden="1" x14ac:dyDescent="0.25">
      <c r="A326" s="1" t="s">
        <v>162</v>
      </c>
      <c r="B326" s="1" t="s">
        <v>293</v>
      </c>
      <c r="C326" s="1">
        <v>1</v>
      </c>
      <c r="D326" s="1" t="s">
        <v>7</v>
      </c>
      <c r="E326" s="1" t="s">
        <v>687</v>
      </c>
      <c r="F326" s="1" t="str">
        <f>IF(COUNTIF(D:D,"="&amp;D326)=1,"Oui","Non")</f>
        <v>Non</v>
      </c>
      <c r="G326" s="3" t="s">
        <v>391</v>
      </c>
      <c r="H326" s="1" t="s">
        <v>390</v>
      </c>
      <c r="I326" s="1" t="s">
        <v>477</v>
      </c>
      <c r="J326" s="9">
        <v>7</v>
      </c>
      <c r="K326" s="3" t="s">
        <v>388</v>
      </c>
    </row>
    <row r="327" spans="1:11" hidden="1" x14ac:dyDescent="0.25">
      <c r="A327" s="1" t="s">
        <v>162</v>
      </c>
      <c r="B327" s="1" t="s">
        <v>293</v>
      </c>
      <c r="C327" s="1">
        <v>1</v>
      </c>
      <c r="D327" s="1" t="s">
        <v>299</v>
      </c>
      <c r="E327" s="1" t="s">
        <v>296</v>
      </c>
      <c r="F327" s="1" t="str">
        <f>IF(COUNTIF(D:D,"="&amp;D327)=1,"Oui","Non")</f>
        <v>Oui</v>
      </c>
    </row>
    <row r="328" spans="1:11" hidden="1" x14ac:dyDescent="0.25">
      <c r="A328" s="1" t="s">
        <v>162</v>
      </c>
      <c r="B328" s="1" t="s">
        <v>293</v>
      </c>
      <c r="C328" s="1">
        <v>2</v>
      </c>
      <c r="D328" s="1" t="s">
        <v>300</v>
      </c>
      <c r="E328" s="1" t="s">
        <v>296</v>
      </c>
      <c r="F328" s="1" t="str">
        <f>IF(COUNTIF(D:D,"="&amp;D328)=1,"Oui","Non")</f>
        <v>Oui</v>
      </c>
    </row>
    <row r="329" spans="1:11" hidden="1" x14ac:dyDescent="0.25">
      <c r="A329" s="1" t="s">
        <v>162</v>
      </c>
      <c r="B329" s="1" t="s">
        <v>293</v>
      </c>
      <c r="C329" s="1">
        <v>2</v>
      </c>
      <c r="D329" s="1" t="s">
        <v>8</v>
      </c>
      <c r="E329" s="1" t="s">
        <v>296</v>
      </c>
      <c r="F329" s="1" t="str">
        <f>IF(COUNTIF(D:D,"="&amp;D329)=1,"Oui","Non")</f>
        <v>Non</v>
      </c>
      <c r="G329" s="3" t="s">
        <v>393</v>
      </c>
      <c r="H329" s="1" t="s">
        <v>424</v>
      </c>
      <c r="I329" s="1" t="s">
        <v>478</v>
      </c>
      <c r="J329" s="9" t="s">
        <v>475</v>
      </c>
      <c r="K329" s="3" t="s">
        <v>392</v>
      </c>
    </row>
    <row r="330" spans="1:11" hidden="1" x14ac:dyDescent="0.25">
      <c r="A330" s="1" t="s">
        <v>162</v>
      </c>
      <c r="B330" s="1" t="s">
        <v>293</v>
      </c>
      <c r="C330" s="1">
        <v>2</v>
      </c>
      <c r="D330" s="1" t="s">
        <v>301</v>
      </c>
      <c r="E330" s="1" t="s">
        <v>422</v>
      </c>
      <c r="F330" s="1" t="str">
        <f>IF(COUNTIF(D:D,"="&amp;D330)=1,"Oui","Non")</f>
        <v>Oui</v>
      </c>
    </row>
    <row r="331" spans="1:11" hidden="1" x14ac:dyDescent="0.25">
      <c r="A331" s="1" t="s">
        <v>162</v>
      </c>
      <c r="B331" s="1" t="s">
        <v>293</v>
      </c>
      <c r="C331" s="1">
        <v>2</v>
      </c>
      <c r="D331" s="1" t="s">
        <v>302</v>
      </c>
      <c r="E331" s="1" t="s">
        <v>305</v>
      </c>
      <c r="F331" s="1" t="str">
        <f>IF(COUNTIF(D:D,"="&amp;D331)=1,"Oui","Non")</f>
        <v>Oui</v>
      </c>
    </row>
    <row r="332" spans="1:11" hidden="1" x14ac:dyDescent="0.25">
      <c r="A332" s="1" t="s">
        <v>162</v>
      </c>
      <c r="B332" s="1" t="s">
        <v>293</v>
      </c>
      <c r="C332" s="1">
        <v>2</v>
      </c>
      <c r="D332" s="1" t="s">
        <v>303</v>
      </c>
      <c r="E332" s="1" t="s">
        <v>296</v>
      </c>
      <c r="F332" s="1" t="str">
        <f>IF(COUNTIF(D:D,"="&amp;D332)=1,"Oui","Non")</f>
        <v>Oui</v>
      </c>
    </row>
    <row r="333" spans="1:11" hidden="1" x14ac:dyDescent="0.25">
      <c r="A333" s="1" t="s">
        <v>162</v>
      </c>
      <c r="B333" s="1" t="s">
        <v>293</v>
      </c>
      <c r="C333" s="1">
        <v>3</v>
      </c>
      <c r="D333" s="1" t="s">
        <v>304</v>
      </c>
      <c r="E333" s="1" t="s">
        <v>296</v>
      </c>
      <c r="F333" s="1" t="str">
        <f>IF(COUNTIF(D:D,"="&amp;D333)=1,"Oui","Non")</f>
        <v>Oui</v>
      </c>
    </row>
    <row r="334" spans="1:11" hidden="1" x14ac:dyDescent="0.25">
      <c r="A334" s="1" t="s">
        <v>162</v>
      </c>
      <c r="B334" s="1" t="s">
        <v>293</v>
      </c>
      <c r="C334" s="1">
        <v>3</v>
      </c>
      <c r="D334" s="1" t="s">
        <v>306</v>
      </c>
      <c r="E334" s="1" t="s">
        <v>422</v>
      </c>
      <c r="F334" s="1" t="str">
        <f>IF(COUNTIF(D:D,"="&amp;D334)=1,"Oui","Non")</f>
        <v>Oui</v>
      </c>
    </row>
    <row r="335" spans="1:11" ht="30" hidden="1" x14ac:dyDescent="0.25">
      <c r="A335" s="1" t="s">
        <v>162</v>
      </c>
      <c r="B335" s="1" t="s">
        <v>293</v>
      </c>
      <c r="C335" s="1">
        <v>3</v>
      </c>
      <c r="D335" s="1" t="s">
        <v>284</v>
      </c>
      <c r="E335" s="1" t="s">
        <v>311</v>
      </c>
      <c r="F335" s="1" t="str">
        <f>IF(COUNTIF(D:D,"="&amp;D335)=1,"Oui","Non")</f>
        <v>Non</v>
      </c>
      <c r="G335" s="3" t="s">
        <v>470</v>
      </c>
      <c r="H335" s="1" t="s">
        <v>390</v>
      </c>
      <c r="I335" s="1" t="s">
        <v>477</v>
      </c>
      <c r="J335" s="9">
        <v>7</v>
      </c>
      <c r="K335" s="3" t="s">
        <v>398</v>
      </c>
    </row>
    <row r="336" spans="1:11" hidden="1" x14ac:dyDescent="0.25">
      <c r="A336" s="1" t="s">
        <v>162</v>
      </c>
      <c r="B336" s="1" t="s">
        <v>293</v>
      </c>
      <c r="C336" s="1">
        <v>3</v>
      </c>
      <c r="D336" s="1" t="s">
        <v>307</v>
      </c>
      <c r="E336" s="1" t="s">
        <v>422</v>
      </c>
      <c r="F336" s="1" t="str">
        <f>IF(COUNTIF(D:D,"="&amp;D336)=1,"Oui","Non")</f>
        <v>Oui</v>
      </c>
    </row>
    <row r="337" spans="1:11" hidden="1" x14ac:dyDescent="0.25">
      <c r="A337" s="1" t="s">
        <v>162</v>
      </c>
      <c r="B337" s="1" t="s">
        <v>293</v>
      </c>
      <c r="C337" s="1">
        <v>4</v>
      </c>
      <c r="D337" s="1" t="s">
        <v>308</v>
      </c>
      <c r="E337" s="1" t="s">
        <v>422</v>
      </c>
      <c r="F337" s="1" t="str">
        <f>IF(COUNTIF(D:D,"="&amp;D337)=1,"Oui","Non")</f>
        <v>Oui</v>
      </c>
    </row>
    <row r="338" spans="1:11" hidden="1" x14ac:dyDescent="0.25">
      <c r="A338" s="1" t="s">
        <v>162</v>
      </c>
      <c r="B338" s="1" t="s">
        <v>293</v>
      </c>
      <c r="C338" s="1">
        <v>4</v>
      </c>
      <c r="D338" s="1" t="s">
        <v>309</v>
      </c>
      <c r="E338" s="1" t="s">
        <v>422</v>
      </c>
      <c r="F338" s="1" t="str">
        <f>IF(COUNTIF(D:D,"="&amp;D338)=1,"Oui","Non")</f>
        <v>Oui</v>
      </c>
    </row>
    <row r="339" spans="1:11" ht="45" hidden="1" x14ac:dyDescent="0.25">
      <c r="A339" s="1" t="s">
        <v>162</v>
      </c>
      <c r="B339" s="1" t="s">
        <v>293</v>
      </c>
      <c r="C339" s="1">
        <v>4</v>
      </c>
      <c r="D339" s="1" t="s">
        <v>176</v>
      </c>
      <c r="E339" s="1" t="s">
        <v>407</v>
      </c>
      <c r="F339" s="1" t="str">
        <f>IF(COUNTIF(D:D,"="&amp;D339)=1,"Oui","Non")</f>
        <v>Non</v>
      </c>
      <c r="G339" s="3" t="s">
        <v>461</v>
      </c>
      <c r="H339" s="1" t="s">
        <v>424</v>
      </c>
      <c r="I339" s="3" t="s">
        <v>460</v>
      </c>
      <c r="J339" s="11">
        <v>6</v>
      </c>
      <c r="K339" s="3" t="s">
        <v>398</v>
      </c>
    </row>
    <row r="340" spans="1:11" hidden="1" x14ac:dyDescent="0.25">
      <c r="A340" s="1" t="s">
        <v>162</v>
      </c>
      <c r="B340" s="1" t="s">
        <v>293</v>
      </c>
      <c r="C340" s="1">
        <v>4</v>
      </c>
      <c r="D340" s="1" t="s">
        <v>310</v>
      </c>
      <c r="E340" s="1" t="s">
        <v>296</v>
      </c>
      <c r="F340" s="1" t="str">
        <f>IF(COUNTIF(D:D,"="&amp;D340)=1,"Oui","Non")</f>
        <v>Oui</v>
      </c>
    </row>
    <row r="341" spans="1:11" hidden="1" x14ac:dyDescent="0.25">
      <c r="A341" s="1" t="s">
        <v>162</v>
      </c>
      <c r="B341" s="1" t="s">
        <v>293</v>
      </c>
      <c r="C341" s="1">
        <v>5</v>
      </c>
      <c r="D341" s="1" t="s">
        <v>312</v>
      </c>
      <c r="E341" s="1" t="s">
        <v>296</v>
      </c>
      <c r="F341" s="1" t="str">
        <f>IF(COUNTIF(D:D,"="&amp;D341)=1,"Oui","Non")</f>
        <v>Oui</v>
      </c>
    </row>
    <row r="342" spans="1:11" hidden="1" x14ac:dyDescent="0.25">
      <c r="A342" s="1" t="s">
        <v>162</v>
      </c>
      <c r="B342" s="1" t="s">
        <v>293</v>
      </c>
      <c r="C342" s="1">
        <v>5</v>
      </c>
      <c r="D342" s="1" t="s">
        <v>313</v>
      </c>
      <c r="E342" s="1" t="s">
        <v>422</v>
      </c>
      <c r="F342" s="1" t="str">
        <f>IF(COUNTIF(D:D,"="&amp;D342)=1,"Oui","Non")</f>
        <v>Oui</v>
      </c>
    </row>
    <row r="343" spans="1:11" hidden="1" x14ac:dyDescent="0.25">
      <c r="A343" s="1" t="s">
        <v>162</v>
      </c>
      <c r="B343" s="1" t="s">
        <v>314</v>
      </c>
      <c r="C343" s="1">
        <v>1</v>
      </c>
      <c r="D343" s="1" t="s">
        <v>315</v>
      </c>
      <c r="E343" s="1" t="s">
        <v>316</v>
      </c>
      <c r="F343" s="1" t="str">
        <f>IF(COUNTIF(D:D,"="&amp;D343)=1,"Oui","Non")</f>
        <v>Oui</v>
      </c>
    </row>
    <row r="344" spans="1:11" hidden="1" x14ac:dyDescent="0.25">
      <c r="A344" s="1" t="s">
        <v>162</v>
      </c>
      <c r="B344" s="1" t="s">
        <v>314</v>
      </c>
      <c r="C344" s="1">
        <v>1</v>
      </c>
      <c r="D344" s="1" t="s">
        <v>317</v>
      </c>
      <c r="E344" s="1" t="s">
        <v>422</v>
      </c>
      <c r="F344" s="1" t="str">
        <f>IF(COUNTIF(D:D,"="&amp;D344)=1,"Oui","Non")</f>
        <v>Oui</v>
      </c>
    </row>
    <row r="345" spans="1:11" hidden="1" x14ac:dyDescent="0.25">
      <c r="A345" s="1" t="s">
        <v>162</v>
      </c>
      <c r="B345" s="1" t="s">
        <v>314</v>
      </c>
      <c r="C345" s="1">
        <v>1</v>
      </c>
      <c r="D345" s="1" t="s">
        <v>318</v>
      </c>
      <c r="E345" s="1" t="s">
        <v>422</v>
      </c>
      <c r="F345" s="1" t="str">
        <f>IF(COUNTIF(D:D,"="&amp;D345)=1,"Oui","Non")</f>
        <v>Oui</v>
      </c>
    </row>
    <row r="346" spans="1:11" hidden="1" x14ac:dyDescent="0.25">
      <c r="A346" s="1" t="s">
        <v>162</v>
      </c>
      <c r="B346" s="1" t="s">
        <v>314</v>
      </c>
      <c r="C346" s="1">
        <v>1</v>
      </c>
      <c r="D346" s="1" t="s">
        <v>319</v>
      </c>
      <c r="E346" s="1" t="s">
        <v>422</v>
      </c>
      <c r="F346" s="1" t="str">
        <f>IF(COUNTIF(D:D,"="&amp;D346)=1,"Oui","Non")</f>
        <v>Oui</v>
      </c>
    </row>
    <row r="347" spans="1:11" ht="30" hidden="1" x14ac:dyDescent="0.25">
      <c r="A347" s="1" t="s">
        <v>162</v>
      </c>
      <c r="B347" s="1" t="s">
        <v>314</v>
      </c>
      <c r="C347" s="1">
        <v>1</v>
      </c>
      <c r="D347" s="1" t="s">
        <v>232</v>
      </c>
      <c r="E347" s="1" t="s">
        <v>389</v>
      </c>
      <c r="F347" s="1" t="str">
        <f>IF(COUNTIF(D:D,"="&amp;D347)=1,"Oui","Non")</f>
        <v>Non</v>
      </c>
      <c r="G347" s="3" t="s">
        <v>467</v>
      </c>
      <c r="H347" s="1" t="s">
        <v>390</v>
      </c>
      <c r="I347" s="1" t="s">
        <v>387</v>
      </c>
      <c r="J347" s="9" t="s">
        <v>387</v>
      </c>
      <c r="K347" s="3" t="s">
        <v>421</v>
      </c>
    </row>
    <row r="348" spans="1:11" hidden="1" x14ac:dyDescent="0.25">
      <c r="A348" s="1" t="s">
        <v>162</v>
      </c>
      <c r="B348" s="1" t="s">
        <v>314</v>
      </c>
      <c r="C348" s="1">
        <v>2</v>
      </c>
      <c r="D348" s="1" t="s">
        <v>320</v>
      </c>
      <c r="E348" s="1" t="s">
        <v>422</v>
      </c>
      <c r="F348" s="1" t="str">
        <f>IF(COUNTIF(D:D,"="&amp;D348)=1,"Oui","Non")</f>
        <v>Oui</v>
      </c>
    </row>
    <row r="349" spans="1:11" hidden="1" x14ac:dyDescent="0.25">
      <c r="A349" s="1" t="s">
        <v>162</v>
      </c>
      <c r="B349" s="1" t="s">
        <v>314</v>
      </c>
      <c r="C349" s="1">
        <v>2</v>
      </c>
      <c r="D349" s="1" t="s">
        <v>321</v>
      </c>
      <c r="E349" s="1" t="s">
        <v>422</v>
      </c>
      <c r="F349" s="1" t="str">
        <f>IF(COUNTIF(D:D,"="&amp;D349)=1,"Oui","Non")</f>
        <v>Oui</v>
      </c>
    </row>
    <row r="350" spans="1:11" hidden="1" x14ac:dyDescent="0.25">
      <c r="A350" s="1" t="s">
        <v>162</v>
      </c>
      <c r="B350" s="1" t="s">
        <v>314</v>
      </c>
      <c r="C350" s="1">
        <v>2</v>
      </c>
      <c r="D350" s="1" t="s">
        <v>322</v>
      </c>
      <c r="E350" s="1" t="s">
        <v>422</v>
      </c>
      <c r="F350" s="1" t="str">
        <f>IF(COUNTIF(D:D,"="&amp;D350)=1,"Oui","Non")</f>
        <v>Oui</v>
      </c>
    </row>
    <row r="351" spans="1:11" hidden="1" x14ac:dyDescent="0.25">
      <c r="A351" s="1" t="s">
        <v>162</v>
      </c>
      <c r="B351" s="1" t="s">
        <v>314</v>
      </c>
      <c r="C351" s="1">
        <v>2</v>
      </c>
      <c r="D351" s="1" t="s">
        <v>67</v>
      </c>
      <c r="E351" s="1" t="s">
        <v>427</v>
      </c>
      <c r="F351" s="1" t="str">
        <f>IF(COUNTIF(D:D,"="&amp;D351)=1,"Oui","Non")</f>
        <v>Non</v>
      </c>
      <c r="G351" s="3" t="s">
        <v>429</v>
      </c>
      <c r="H351" s="1" t="s">
        <v>390</v>
      </c>
      <c r="I351" s="1" t="s">
        <v>482</v>
      </c>
      <c r="J351" s="9">
        <v>5</v>
      </c>
      <c r="K351" s="3" t="s">
        <v>430</v>
      </c>
    </row>
    <row r="352" spans="1:11" hidden="1" x14ac:dyDescent="0.25">
      <c r="A352" s="1" t="s">
        <v>162</v>
      </c>
      <c r="B352" s="1" t="s">
        <v>314</v>
      </c>
      <c r="C352" s="1">
        <v>2</v>
      </c>
      <c r="D352" s="1" t="s">
        <v>323</v>
      </c>
      <c r="E352" s="1" t="s">
        <v>422</v>
      </c>
      <c r="F352" s="1" t="str">
        <f>IF(COUNTIF(D:D,"="&amp;D352)=1,"Oui","Non")</f>
        <v>Oui</v>
      </c>
    </row>
    <row r="353" spans="1:11" hidden="1" x14ac:dyDescent="0.25">
      <c r="A353" s="1" t="s">
        <v>162</v>
      </c>
      <c r="B353" s="1" t="s">
        <v>314</v>
      </c>
      <c r="C353" s="1">
        <v>3</v>
      </c>
      <c r="D353" s="1" t="s">
        <v>324</v>
      </c>
      <c r="E353" s="1" t="s">
        <v>422</v>
      </c>
      <c r="F353" s="1" t="str">
        <f>IF(COUNTIF(D:D,"="&amp;D353)=1,"Oui","Non")</f>
        <v>Oui</v>
      </c>
    </row>
    <row r="354" spans="1:11" hidden="1" x14ac:dyDescent="0.25">
      <c r="A354" s="1" t="s">
        <v>162</v>
      </c>
      <c r="B354" s="1" t="s">
        <v>314</v>
      </c>
      <c r="C354" s="1">
        <v>3</v>
      </c>
      <c r="D354" s="1" t="s">
        <v>325</v>
      </c>
      <c r="E354" s="1" t="s">
        <v>422</v>
      </c>
      <c r="F354" s="1" t="str">
        <f>IF(COUNTIF(D:D,"="&amp;D354)=1,"Oui","Non")</f>
        <v>Oui</v>
      </c>
    </row>
    <row r="355" spans="1:11" hidden="1" x14ac:dyDescent="0.25">
      <c r="A355" s="1" t="s">
        <v>162</v>
      </c>
      <c r="B355" s="1" t="s">
        <v>314</v>
      </c>
      <c r="C355" s="1">
        <v>3</v>
      </c>
      <c r="D355" s="1" t="s">
        <v>326</v>
      </c>
      <c r="E355" s="1" t="s">
        <v>422</v>
      </c>
      <c r="F355" s="1" t="str">
        <f>IF(COUNTIF(D:D,"="&amp;D355)=1,"Oui","Non")</f>
        <v>Oui</v>
      </c>
    </row>
    <row r="356" spans="1:11" hidden="1" x14ac:dyDescent="0.25">
      <c r="A356" s="1" t="s">
        <v>162</v>
      </c>
      <c r="B356" s="1" t="s">
        <v>314</v>
      </c>
      <c r="C356" s="1">
        <v>3</v>
      </c>
      <c r="D356" s="1" t="s">
        <v>12</v>
      </c>
      <c r="E356" s="1" t="s">
        <v>399</v>
      </c>
      <c r="F356" s="1" t="str">
        <f>IF(COUNTIF(D:D,"="&amp;D356)=1,"Oui","Non")</f>
        <v>Non</v>
      </c>
      <c r="G356" s="3" t="s">
        <v>400</v>
      </c>
      <c r="H356" s="1" t="s">
        <v>424</v>
      </c>
      <c r="I356" s="1" t="s">
        <v>478</v>
      </c>
      <c r="J356" s="9" t="s">
        <v>475</v>
      </c>
      <c r="K356" s="3" t="s">
        <v>401</v>
      </c>
    </row>
    <row r="357" spans="1:11" hidden="1" x14ac:dyDescent="0.25">
      <c r="A357" s="1" t="s">
        <v>162</v>
      </c>
      <c r="B357" s="1" t="s">
        <v>314</v>
      </c>
      <c r="C357" s="1">
        <v>3</v>
      </c>
      <c r="D357" s="1" t="s">
        <v>327</v>
      </c>
      <c r="E357" s="1" t="s">
        <v>422</v>
      </c>
      <c r="F357" s="1" t="str">
        <f>IF(COUNTIF(D:D,"="&amp;D357)=1,"Oui","Non")</f>
        <v>Oui</v>
      </c>
    </row>
    <row r="358" spans="1:11" hidden="1" x14ac:dyDescent="0.25">
      <c r="A358" s="1" t="s">
        <v>162</v>
      </c>
      <c r="B358" s="1" t="s">
        <v>314</v>
      </c>
      <c r="C358" s="1">
        <v>4</v>
      </c>
      <c r="D358" s="1" t="s">
        <v>328</v>
      </c>
      <c r="E358" s="1" t="s">
        <v>422</v>
      </c>
      <c r="F358" s="1" t="str">
        <f>IF(COUNTIF(D:D,"="&amp;D358)=1,"Oui","Non")</f>
        <v>Oui</v>
      </c>
    </row>
    <row r="359" spans="1:11" hidden="1" x14ac:dyDescent="0.25">
      <c r="A359" s="1" t="s">
        <v>162</v>
      </c>
      <c r="B359" s="1" t="s">
        <v>314</v>
      </c>
      <c r="C359" s="1">
        <v>4</v>
      </c>
      <c r="D359" s="1" t="s">
        <v>329</v>
      </c>
      <c r="E359" s="1" t="s">
        <v>422</v>
      </c>
      <c r="F359" s="1" t="str">
        <f>IF(COUNTIF(D:D,"="&amp;D359)=1,"Oui","Non")</f>
        <v>Oui</v>
      </c>
    </row>
    <row r="360" spans="1:11" ht="45" hidden="1" x14ac:dyDescent="0.25">
      <c r="A360" s="1" t="s">
        <v>162</v>
      </c>
      <c r="B360" s="1" t="s">
        <v>314</v>
      </c>
      <c r="C360" s="1">
        <v>4</v>
      </c>
      <c r="D360" s="1" t="s">
        <v>176</v>
      </c>
      <c r="E360" s="1" t="s">
        <v>407</v>
      </c>
      <c r="F360" s="1" t="str">
        <f>IF(COUNTIF(D:D,"="&amp;D360)=1,"Oui","Non")</f>
        <v>Non</v>
      </c>
      <c r="G360" s="3" t="s">
        <v>461</v>
      </c>
      <c r="H360" s="1" t="s">
        <v>424</v>
      </c>
      <c r="I360" s="3" t="s">
        <v>460</v>
      </c>
      <c r="J360" s="11">
        <v>6</v>
      </c>
      <c r="K360" s="3" t="s">
        <v>398</v>
      </c>
    </row>
    <row r="361" spans="1:11" hidden="1" x14ac:dyDescent="0.25">
      <c r="A361" s="1" t="s">
        <v>162</v>
      </c>
      <c r="B361" s="1" t="s">
        <v>314</v>
      </c>
      <c r="C361" s="1">
        <v>5</v>
      </c>
      <c r="D361" s="1" t="s">
        <v>330</v>
      </c>
      <c r="E361" s="1" t="s">
        <v>422</v>
      </c>
      <c r="F361" s="1" t="str">
        <f>IF(COUNTIF(D:D,"="&amp;D361)=1,"Oui","Non")</f>
        <v>Oui</v>
      </c>
    </row>
    <row r="362" spans="1:11" hidden="1" x14ac:dyDescent="0.25">
      <c r="A362" s="1" t="s">
        <v>162</v>
      </c>
      <c r="B362" s="1" t="s">
        <v>314</v>
      </c>
      <c r="C362" s="1">
        <v>5</v>
      </c>
      <c r="D362" s="1" t="s">
        <v>331</v>
      </c>
      <c r="E362" s="1" t="s">
        <v>316</v>
      </c>
      <c r="F362" s="1" t="str">
        <f>IF(COUNTIF(D:D,"="&amp;D362)=1,"Oui","Non")</f>
        <v>Oui</v>
      </c>
    </row>
    <row r="363" spans="1:11" hidden="1" x14ac:dyDescent="0.25">
      <c r="A363" s="1" t="s">
        <v>162</v>
      </c>
      <c r="B363" s="1" t="s">
        <v>332</v>
      </c>
      <c r="C363" s="1">
        <v>1</v>
      </c>
      <c r="D363" s="1" t="s">
        <v>333</v>
      </c>
      <c r="E363" s="1" t="s">
        <v>422</v>
      </c>
      <c r="F363" s="1" t="str">
        <f>IF(COUNTIF(D:D,"="&amp;D363)=1,"Oui","Non")</f>
        <v>Oui</v>
      </c>
    </row>
    <row r="364" spans="1:11" hidden="1" x14ac:dyDescent="0.25">
      <c r="A364" s="1" t="s">
        <v>162</v>
      </c>
      <c r="B364" s="1" t="s">
        <v>332</v>
      </c>
      <c r="C364" s="1">
        <v>1</v>
      </c>
      <c r="D364" s="1" t="s">
        <v>334</v>
      </c>
      <c r="E364" s="1" t="s">
        <v>422</v>
      </c>
      <c r="F364" s="1" t="str">
        <f>IF(COUNTIF(D:D,"="&amp;D364)=1,"Oui","Non")</f>
        <v>Oui</v>
      </c>
    </row>
    <row r="365" spans="1:11" hidden="1" x14ac:dyDescent="0.25">
      <c r="A365" s="1" t="s">
        <v>162</v>
      </c>
      <c r="B365" s="1" t="s">
        <v>332</v>
      </c>
      <c r="C365" s="1">
        <v>1</v>
      </c>
      <c r="D365" s="1" t="s">
        <v>335</v>
      </c>
      <c r="E365" s="1" t="s">
        <v>422</v>
      </c>
      <c r="F365" s="1" t="str">
        <f>IF(COUNTIF(D:D,"="&amp;D365)=1,"Oui","Non")</f>
        <v>Oui</v>
      </c>
    </row>
    <row r="366" spans="1:11" hidden="1" x14ac:dyDescent="0.25">
      <c r="A366" s="1" t="s">
        <v>162</v>
      </c>
      <c r="B366" s="1" t="s">
        <v>332</v>
      </c>
      <c r="C366" s="1">
        <v>1</v>
      </c>
      <c r="D366" s="1" t="s">
        <v>336</v>
      </c>
      <c r="E366" s="1" t="s">
        <v>422</v>
      </c>
      <c r="F366" s="1" t="str">
        <f>IF(COUNTIF(D:D,"="&amp;D366)=1,"Oui","Non")</f>
        <v>Oui</v>
      </c>
    </row>
    <row r="367" spans="1:11" hidden="1" x14ac:dyDescent="0.25">
      <c r="A367" s="1" t="s">
        <v>162</v>
      </c>
      <c r="B367" s="1" t="s">
        <v>332</v>
      </c>
      <c r="C367" s="1">
        <v>1</v>
      </c>
      <c r="D367" s="1" t="s">
        <v>337</v>
      </c>
      <c r="E367" s="1" t="s">
        <v>422</v>
      </c>
      <c r="F367" s="1" t="str">
        <f>IF(COUNTIF(D:D,"="&amp;D367)=1,"Oui","Non")</f>
        <v>Oui</v>
      </c>
    </row>
    <row r="368" spans="1:11" hidden="1" x14ac:dyDescent="0.25">
      <c r="A368" s="1" t="s">
        <v>162</v>
      </c>
      <c r="B368" s="1" t="s">
        <v>332</v>
      </c>
      <c r="C368" s="1">
        <v>2</v>
      </c>
      <c r="D368" s="1" t="s">
        <v>201</v>
      </c>
      <c r="E368" s="1" t="s">
        <v>389</v>
      </c>
      <c r="F368" s="1" t="str">
        <f>IF(COUNTIF(D:D,"="&amp;D368)=1,"Oui","Non")</f>
        <v>Non</v>
      </c>
      <c r="G368" s="3" t="s">
        <v>465</v>
      </c>
      <c r="H368" s="1" t="s">
        <v>424</v>
      </c>
      <c r="I368" s="1" t="s">
        <v>466</v>
      </c>
      <c r="J368" s="9">
        <v>6</v>
      </c>
      <c r="K368" s="3" t="s">
        <v>388</v>
      </c>
    </row>
    <row r="369" spans="1:11" hidden="1" x14ac:dyDescent="0.25">
      <c r="A369" s="1" t="s">
        <v>162</v>
      </c>
      <c r="B369" s="1" t="s">
        <v>332</v>
      </c>
      <c r="C369" s="1">
        <v>2</v>
      </c>
      <c r="D369" s="1" t="s">
        <v>338</v>
      </c>
      <c r="E369" s="1" t="s">
        <v>422</v>
      </c>
      <c r="F369" s="1" t="str">
        <f>IF(COUNTIF(D:D,"="&amp;D369)=1,"Oui","Non")</f>
        <v>Oui</v>
      </c>
    </row>
    <row r="370" spans="1:11" hidden="1" x14ac:dyDescent="0.25">
      <c r="A370" s="1" t="s">
        <v>162</v>
      </c>
      <c r="B370" s="1" t="s">
        <v>332</v>
      </c>
      <c r="C370" s="1">
        <v>2</v>
      </c>
      <c r="D370" s="1" t="s">
        <v>339</v>
      </c>
      <c r="E370" s="1" t="s">
        <v>422</v>
      </c>
      <c r="F370" s="1" t="str">
        <f>IF(COUNTIF(D:D,"="&amp;D370)=1,"Oui","Non")</f>
        <v>Oui</v>
      </c>
    </row>
    <row r="371" spans="1:11" hidden="1" x14ac:dyDescent="0.25">
      <c r="A371" s="1" t="s">
        <v>162</v>
      </c>
      <c r="B371" s="1" t="s">
        <v>332</v>
      </c>
      <c r="C371" s="1">
        <v>2</v>
      </c>
      <c r="D371" s="1" t="s">
        <v>340</v>
      </c>
      <c r="E371" s="1" t="s">
        <v>422</v>
      </c>
      <c r="F371" s="1" t="str">
        <f>IF(COUNTIF(D:D,"="&amp;D371)=1,"Oui","Non")</f>
        <v>Oui</v>
      </c>
    </row>
    <row r="372" spans="1:11" ht="30" hidden="1" x14ac:dyDescent="0.25">
      <c r="A372" s="1" t="s">
        <v>162</v>
      </c>
      <c r="B372" s="1" t="s">
        <v>332</v>
      </c>
      <c r="C372" s="1">
        <v>2</v>
      </c>
      <c r="D372" s="1" t="s">
        <v>129</v>
      </c>
      <c r="E372" s="1" t="s">
        <v>422</v>
      </c>
      <c r="F372" s="1" t="str">
        <f>IF(COUNTIF(D:D,"="&amp;D372)=1,"Oui","Non")</f>
        <v>Non</v>
      </c>
      <c r="G372" s="3" t="s">
        <v>447</v>
      </c>
      <c r="H372" s="1" t="s">
        <v>424</v>
      </c>
      <c r="I372" s="1" t="s">
        <v>445</v>
      </c>
      <c r="J372" s="9">
        <v>6</v>
      </c>
      <c r="K372" s="3" t="s">
        <v>446</v>
      </c>
    </row>
    <row r="373" spans="1:11" hidden="1" x14ac:dyDescent="0.25">
      <c r="A373" s="1" t="s">
        <v>162</v>
      </c>
      <c r="B373" s="1" t="s">
        <v>332</v>
      </c>
      <c r="C373" s="1">
        <v>3</v>
      </c>
      <c r="D373" s="1" t="s">
        <v>341</v>
      </c>
      <c r="E373" s="1" t="s">
        <v>422</v>
      </c>
      <c r="F373" s="1" t="str">
        <f>IF(COUNTIF(D:D,"="&amp;D373)=1,"Oui","Non")</f>
        <v>Oui</v>
      </c>
    </row>
    <row r="374" spans="1:11" hidden="1" x14ac:dyDescent="0.25">
      <c r="A374" s="1" t="s">
        <v>162</v>
      </c>
      <c r="B374" s="1" t="s">
        <v>332</v>
      </c>
      <c r="C374" s="1">
        <v>3</v>
      </c>
      <c r="D374" s="1" t="s">
        <v>342</v>
      </c>
      <c r="E374" s="1" t="s">
        <v>422</v>
      </c>
      <c r="F374" s="1" t="str">
        <f>IF(COUNTIF(D:D,"="&amp;D374)=1,"Oui","Non")</f>
        <v>Oui</v>
      </c>
    </row>
    <row r="375" spans="1:11" hidden="1" x14ac:dyDescent="0.25">
      <c r="A375" s="1" t="s">
        <v>162</v>
      </c>
      <c r="B375" s="1" t="s">
        <v>332</v>
      </c>
      <c r="C375" s="1">
        <v>3</v>
      </c>
      <c r="D375" s="1" t="s">
        <v>343</v>
      </c>
      <c r="E375" s="1" t="s">
        <v>422</v>
      </c>
      <c r="F375" s="1" t="str">
        <f>IF(COUNTIF(D:D,"="&amp;D375)=1,"Oui","Non")</f>
        <v>Oui</v>
      </c>
    </row>
    <row r="376" spans="1:11" hidden="1" x14ac:dyDescent="0.25">
      <c r="A376" s="1" t="s">
        <v>162</v>
      </c>
      <c r="B376" s="1" t="s">
        <v>332</v>
      </c>
      <c r="C376" s="1">
        <v>3</v>
      </c>
      <c r="D376" s="1" t="s">
        <v>344</v>
      </c>
      <c r="E376" s="1" t="s">
        <v>422</v>
      </c>
      <c r="F376" s="1" t="str">
        <f>IF(COUNTIF(D:D,"="&amp;D376)=1,"Oui","Non")</f>
        <v>Oui</v>
      </c>
    </row>
    <row r="377" spans="1:11" hidden="1" x14ac:dyDescent="0.25">
      <c r="A377" s="1" t="s">
        <v>162</v>
      </c>
      <c r="B377" s="1" t="s">
        <v>332</v>
      </c>
      <c r="C377" s="1">
        <v>3</v>
      </c>
      <c r="D377" s="1" t="s">
        <v>345</v>
      </c>
      <c r="E377" s="1" t="s">
        <v>422</v>
      </c>
      <c r="F377" s="1" t="str">
        <f>IF(COUNTIF(D:D,"="&amp;D377)=1,"Oui","Non")</f>
        <v>Oui</v>
      </c>
    </row>
    <row r="378" spans="1:11" hidden="1" x14ac:dyDescent="0.25">
      <c r="A378" s="1" t="s">
        <v>162</v>
      </c>
      <c r="B378" s="1" t="s">
        <v>332</v>
      </c>
      <c r="C378" s="1">
        <v>4</v>
      </c>
      <c r="D378" s="1" t="s">
        <v>346</v>
      </c>
      <c r="E378" s="1" t="s">
        <v>422</v>
      </c>
      <c r="F378" s="1" t="str">
        <f>IF(COUNTIF(D:D,"="&amp;D378)=1,"Oui","Non")</f>
        <v>Oui</v>
      </c>
    </row>
    <row r="379" spans="1:11" hidden="1" x14ac:dyDescent="0.25">
      <c r="A379" s="1" t="s">
        <v>162</v>
      </c>
      <c r="B379" s="1" t="s">
        <v>332</v>
      </c>
      <c r="C379" s="1">
        <v>4</v>
      </c>
      <c r="D379" s="1" t="s">
        <v>347</v>
      </c>
      <c r="E379" s="1" t="s">
        <v>422</v>
      </c>
      <c r="F379" s="1" t="str">
        <f>IF(COUNTIF(D:D,"="&amp;D379)=1,"Oui","Non")</f>
        <v>Oui</v>
      </c>
    </row>
    <row r="380" spans="1:11" hidden="1" x14ac:dyDescent="0.25">
      <c r="A380" s="1" t="s">
        <v>162</v>
      </c>
      <c r="B380" s="1" t="s">
        <v>332</v>
      </c>
      <c r="C380" s="1">
        <v>4</v>
      </c>
      <c r="D380" s="1" t="s">
        <v>348</v>
      </c>
      <c r="E380" s="1" t="s">
        <v>628</v>
      </c>
      <c r="F380" s="1" t="str">
        <f>IF(COUNTIF(D:D,"="&amp;D380)=1,"Oui","Non")</f>
        <v>Non</v>
      </c>
      <c r="G380" s="3" t="s">
        <v>471</v>
      </c>
      <c r="H380" s="1" t="s">
        <v>424</v>
      </c>
      <c r="I380" s="1" t="s">
        <v>387</v>
      </c>
      <c r="J380" s="9" t="s">
        <v>387</v>
      </c>
      <c r="K380" s="3" t="s">
        <v>472</v>
      </c>
    </row>
    <row r="381" spans="1:11" hidden="1" x14ac:dyDescent="0.25">
      <c r="A381" s="1" t="s">
        <v>162</v>
      </c>
      <c r="B381" s="1" t="s">
        <v>332</v>
      </c>
      <c r="C381" s="1">
        <v>5</v>
      </c>
      <c r="D381" s="1" t="s">
        <v>349</v>
      </c>
      <c r="E381" s="1" t="s">
        <v>422</v>
      </c>
      <c r="F381" s="1" t="str">
        <f>IF(COUNTIF(D:D,"="&amp;D381)=1,"Oui","Non")</f>
        <v>Oui</v>
      </c>
    </row>
    <row r="382" spans="1:11" hidden="1" x14ac:dyDescent="0.25">
      <c r="A382" s="1" t="s">
        <v>162</v>
      </c>
      <c r="B382" s="1" t="s">
        <v>332</v>
      </c>
      <c r="C382" s="1">
        <v>5</v>
      </c>
      <c r="D382" s="1" t="s">
        <v>350</v>
      </c>
      <c r="E382" s="1" t="s">
        <v>298</v>
      </c>
      <c r="F382" s="1" t="str">
        <f>IF(COUNTIF(D:D,"="&amp;D382)=1,"Oui","Non")</f>
        <v>Oui</v>
      </c>
    </row>
    <row r="383" spans="1:11" hidden="1" x14ac:dyDescent="0.25">
      <c r="A383" s="1" t="s">
        <v>162</v>
      </c>
      <c r="B383" s="1" t="s">
        <v>351</v>
      </c>
      <c r="C383" s="1">
        <v>1</v>
      </c>
      <c r="D383" s="1" t="s">
        <v>352</v>
      </c>
      <c r="E383" s="1" t="s">
        <v>520</v>
      </c>
      <c r="F383" s="1" t="str">
        <f>IF(COUNTIF(D:D,"="&amp;D383)=1,"Oui","Non")</f>
        <v>Oui</v>
      </c>
      <c r="G383" s="3" t="s">
        <v>625</v>
      </c>
      <c r="H383" s="1" t="s">
        <v>424</v>
      </c>
      <c r="I383" s="1" t="s">
        <v>387</v>
      </c>
      <c r="J383" s="9" t="s">
        <v>387</v>
      </c>
      <c r="K383" s="3" t="s">
        <v>388</v>
      </c>
    </row>
    <row r="384" spans="1:11" hidden="1" x14ac:dyDescent="0.25">
      <c r="A384" s="1" t="s">
        <v>162</v>
      </c>
      <c r="B384" s="1" t="s">
        <v>351</v>
      </c>
      <c r="C384" s="1">
        <v>1</v>
      </c>
      <c r="D384" s="1" t="s">
        <v>85</v>
      </c>
      <c r="E384" s="1" t="s">
        <v>407</v>
      </c>
      <c r="F384" s="1" t="str">
        <f>IF(COUNTIF(D:D,"="&amp;D384)=1,"Oui","Non")</f>
        <v>Non</v>
      </c>
      <c r="G384" s="3" t="s">
        <v>433</v>
      </c>
      <c r="H384" s="1" t="s">
        <v>390</v>
      </c>
      <c r="I384" s="1" t="s">
        <v>387</v>
      </c>
      <c r="J384" s="9" t="s">
        <v>387</v>
      </c>
      <c r="K384" s="3" t="s">
        <v>411</v>
      </c>
    </row>
    <row r="385" spans="1:11" ht="30" hidden="1" x14ac:dyDescent="0.25">
      <c r="A385" s="1" t="s">
        <v>162</v>
      </c>
      <c r="B385" s="1" t="s">
        <v>351</v>
      </c>
      <c r="C385" s="1">
        <v>1</v>
      </c>
      <c r="D385" s="1" t="s">
        <v>353</v>
      </c>
      <c r="E385" s="1" t="s">
        <v>422</v>
      </c>
      <c r="F385" s="1" t="str">
        <f>IF(COUNTIF(D:D,"="&amp;D385)=1,"Oui","Non")</f>
        <v>Oui</v>
      </c>
      <c r="G385" s="3" t="s">
        <v>626</v>
      </c>
      <c r="H385" s="1" t="s">
        <v>390</v>
      </c>
      <c r="I385" s="1" t="s">
        <v>441</v>
      </c>
      <c r="J385" s="9" t="s">
        <v>475</v>
      </c>
      <c r="K385" s="3" t="s">
        <v>388</v>
      </c>
    </row>
    <row r="386" spans="1:11" ht="30" hidden="1" x14ac:dyDescent="0.25">
      <c r="A386" s="1" t="s">
        <v>162</v>
      </c>
      <c r="B386" s="1" t="s">
        <v>351</v>
      </c>
      <c r="C386" s="1">
        <v>1</v>
      </c>
      <c r="D386" s="1" t="s">
        <v>354</v>
      </c>
      <c r="E386" s="1" t="s">
        <v>412</v>
      </c>
      <c r="F386" s="1" t="str">
        <f>IF(COUNTIF(D:D,"="&amp;D386)=1,"Oui","Non")</f>
        <v>Oui</v>
      </c>
      <c r="G386" s="3" t="s">
        <v>627</v>
      </c>
      <c r="H386" s="1" t="s">
        <v>390</v>
      </c>
      <c r="I386" s="1" t="s">
        <v>485</v>
      </c>
      <c r="J386" s="9" t="s">
        <v>475</v>
      </c>
      <c r="K386" s="3" t="s">
        <v>398</v>
      </c>
    </row>
    <row r="387" spans="1:11" ht="30" hidden="1" x14ac:dyDescent="0.25">
      <c r="A387" s="1" t="s">
        <v>162</v>
      </c>
      <c r="B387" s="1" t="s">
        <v>351</v>
      </c>
      <c r="C387" s="1">
        <v>1</v>
      </c>
      <c r="D387" s="1" t="s">
        <v>87</v>
      </c>
      <c r="E387" s="1" t="s">
        <v>412</v>
      </c>
      <c r="F387" s="1" t="str">
        <f>IF(COUNTIF(D:D,"="&amp;D387)=1,"Oui","Non")</f>
        <v>Non</v>
      </c>
      <c r="G387" s="3" t="s">
        <v>408</v>
      </c>
      <c r="H387" s="1" t="s">
        <v>390</v>
      </c>
      <c r="I387" s="1" t="s">
        <v>409</v>
      </c>
      <c r="J387" s="9" t="s">
        <v>475</v>
      </c>
      <c r="K387" s="3" t="s">
        <v>398</v>
      </c>
    </row>
    <row r="388" spans="1:11" ht="30" hidden="1" x14ac:dyDescent="0.25">
      <c r="A388" s="1" t="s">
        <v>162</v>
      </c>
      <c r="B388" s="1" t="s">
        <v>351</v>
      </c>
      <c r="C388" s="1">
        <v>2</v>
      </c>
      <c r="D388" s="1" t="s">
        <v>355</v>
      </c>
      <c r="E388" s="1" t="s">
        <v>628</v>
      </c>
      <c r="F388" s="1" t="str">
        <f>IF(COUNTIF(D:D,"="&amp;D388)=1,"Oui","Non")</f>
        <v>Oui</v>
      </c>
      <c r="G388" s="3" t="s">
        <v>629</v>
      </c>
      <c r="H388" s="1" t="s">
        <v>424</v>
      </c>
      <c r="I388" s="1" t="s">
        <v>387</v>
      </c>
      <c r="J388" s="9" t="s">
        <v>387</v>
      </c>
      <c r="K388" s="3" t="s">
        <v>398</v>
      </c>
    </row>
    <row r="389" spans="1:11" hidden="1" x14ac:dyDescent="0.25">
      <c r="A389" s="1" t="s">
        <v>162</v>
      </c>
      <c r="B389" s="1" t="s">
        <v>351</v>
      </c>
      <c r="C389" s="1">
        <v>2</v>
      </c>
      <c r="D389" s="1" t="s">
        <v>356</v>
      </c>
      <c r="E389" s="1" t="s">
        <v>520</v>
      </c>
      <c r="F389" s="1" t="str">
        <f>IF(COUNTIF(D:D,"="&amp;D389)=1,"Oui","Non")</f>
        <v>Oui</v>
      </c>
      <c r="G389" s="3" t="s">
        <v>630</v>
      </c>
      <c r="H389" s="1" t="s">
        <v>424</v>
      </c>
      <c r="I389" s="1" t="s">
        <v>387</v>
      </c>
      <c r="J389" s="9" t="s">
        <v>387</v>
      </c>
      <c r="K389" s="3" t="s">
        <v>388</v>
      </c>
    </row>
    <row r="390" spans="1:11" ht="30" hidden="1" x14ac:dyDescent="0.25">
      <c r="A390" s="1" t="s">
        <v>162</v>
      </c>
      <c r="B390" s="1" t="s">
        <v>351</v>
      </c>
      <c r="C390" s="1">
        <v>2</v>
      </c>
      <c r="D390" s="1" t="s">
        <v>357</v>
      </c>
      <c r="E390" s="1" t="s">
        <v>520</v>
      </c>
      <c r="F390" s="1" t="str">
        <f>IF(COUNTIF(D:D,"="&amp;D390)=1,"Oui","Non")</f>
        <v>Oui</v>
      </c>
      <c r="G390" s="3" t="s">
        <v>631</v>
      </c>
      <c r="H390" s="1" t="s">
        <v>424</v>
      </c>
      <c r="I390" s="1" t="s">
        <v>632</v>
      </c>
      <c r="J390" s="9" t="s">
        <v>387</v>
      </c>
      <c r="K390" s="3" t="s">
        <v>388</v>
      </c>
    </row>
    <row r="391" spans="1:11" ht="30" hidden="1" x14ac:dyDescent="0.25">
      <c r="A391" s="1" t="s">
        <v>162</v>
      </c>
      <c r="B391" s="1" t="s">
        <v>351</v>
      </c>
      <c r="C391" s="1">
        <v>2</v>
      </c>
      <c r="D391" s="1" t="s">
        <v>358</v>
      </c>
      <c r="E391" s="1" t="s">
        <v>633</v>
      </c>
      <c r="F391" s="1" t="str">
        <f>IF(COUNTIF(D:D,"="&amp;D391)=1,"Oui","Non")</f>
        <v>Oui</v>
      </c>
      <c r="G391" s="3" t="s">
        <v>634</v>
      </c>
      <c r="H391" s="1" t="s">
        <v>390</v>
      </c>
      <c r="I391" s="1" t="s">
        <v>635</v>
      </c>
      <c r="J391" s="9">
        <v>7</v>
      </c>
      <c r="K391" s="3" t="s">
        <v>388</v>
      </c>
    </row>
    <row r="392" spans="1:11" ht="45" hidden="1" x14ac:dyDescent="0.25">
      <c r="A392" s="1" t="s">
        <v>162</v>
      </c>
      <c r="B392" s="1" t="s">
        <v>351</v>
      </c>
      <c r="C392" s="1">
        <v>2</v>
      </c>
      <c r="D392" s="1" t="s">
        <v>359</v>
      </c>
      <c r="E392" s="1" t="s">
        <v>592</v>
      </c>
      <c r="F392" s="1" t="str">
        <f>IF(COUNTIF(D:D,"="&amp;D392)=1,"Oui","Non")</f>
        <v>Oui</v>
      </c>
      <c r="G392" s="3" t="s">
        <v>636</v>
      </c>
      <c r="H392" s="1" t="s">
        <v>390</v>
      </c>
      <c r="I392" s="1" t="s">
        <v>575</v>
      </c>
      <c r="J392" s="9" t="s">
        <v>575</v>
      </c>
      <c r="K392" s="3" t="s">
        <v>398</v>
      </c>
    </row>
    <row r="393" spans="1:11" ht="30" hidden="1" x14ac:dyDescent="0.25">
      <c r="A393" s="1" t="s">
        <v>162</v>
      </c>
      <c r="B393" s="1" t="s">
        <v>351</v>
      </c>
      <c r="C393" s="1">
        <v>3</v>
      </c>
      <c r="D393" s="1" t="s">
        <v>360</v>
      </c>
      <c r="E393" s="1" t="s">
        <v>633</v>
      </c>
      <c r="F393" s="1" t="str">
        <f>IF(COUNTIF(D:D,"="&amp;D393)=1,"Oui","Non")</f>
        <v>Oui</v>
      </c>
      <c r="G393" s="3" t="s">
        <v>637</v>
      </c>
      <c r="H393" s="3" t="s">
        <v>638</v>
      </c>
      <c r="I393" s="1" t="s">
        <v>441</v>
      </c>
      <c r="J393" s="9" t="s">
        <v>639</v>
      </c>
      <c r="K393" s="3" t="s">
        <v>398</v>
      </c>
    </row>
    <row r="394" spans="1:11" hidden="1" x14ac:dyDescent="0.25">
      <c r="A394" s="1" t="s">
        <v>162</v>
      </c>
      <c r="B394" s="1" t="s">
        <v>351</v>
      </c>
      <c r="C394" s="1">
        <v>3</v>
      </c>
      <c r="D394" s="1" t="s">
        <v>361</v>
      </c>
      <c r="E394" s="1" t="s">
        <v>633</v>
      </c>
      <c r="F394" s="1" t="str">
        <f>IF(COUNTIF(D:D,"="&amp;D394)=1,"Oui","Non")</f>
        <v>Oui</v>
      </c>
      <c r="G394" s="3" t="s">
        <v>640</v>
      </c>
      <c r="H394" s="1" t="s">
        <v>424</v>
      </c>
      <c r="I394" s="1" t="s">
        <v>641</v>
      </c>
      <c r="J394" s="9">
        <v>7</v>
      </c>
      <c r="K394" s="3" t="s">
        <v>388</v>
      </c>
    </row>
    <row r="395" spans="1:11" hidden="1" x14ac:dyDescent="0.25">
      <c r="A395" s="1" t="s">
        <v>162</v>
      </c>
      <c r="B395" s="1" t="s">
        <v>351</v>
      </c>
      <c r="C395" s="1">
        <v>3</v>
      </c>
      <c r="D395" s="1" t="s">
        <v>362</v>
      </c>
      <c r="E395" s="1" t="s">
        <v>412</v>
      </c>
      <c r="F395" s="1" t="str">
        <f>IF(COUNTIF(D:D,"="&amp;D395)=1,"Oui","Non")</f>
        <v>Oui</v>
      </c>
      <c r="G395" s="3" t="s">
        <v>642</v>
      </c>
      <c r="H395" s="1" t="s">
        <v>424</v>
      </c>
      <c r="I395" s="1" t="s">
        <v>409</v>
      </c>
      <c r="J395" s="9" t="s">
        <v>643</v>
      </c>
      <c r="K395" s="3" t="s">
        <v>388</v>
      </c>
    </row>
    <row r="396" spans="1:11" hidden="1" x14ac:dyDescent="0.25">
      <c r="A396" s="1" t="s">
        <v>162</v>
      </c>
      <c r="B396" s="1" t="s">
        <v>351</v>
      </c>
      <c r="C396" s="1">
        <v>3</v>
      </c>
      <c r="D396" s="1" t="s">
        <v>363</v>
      </c>
      <c r="E396" s="1" t="s">
        <v>427</v>
      </c>
      <c r="F396" s="1" t="str">
        <f>IF(COUNTIF(D:D,"="&amp;D396)=1,"Oui","Non")</f>
        <v>Oui</v>
      </c>
      <c r="G396" s="3" t="s">
        <v>644</v>
      </c>
      <c r="H396" s="1" t="s">
        <v>424</v>
      </c>
      <c r="I396" s="1" t="s">
        <v>600</v>
      </c>
      <c r="J396" s="9" t="s">
        <v>475</v>
      </c>
      <c r="K396" s="3" t="s">
        <v>388</v>
      </c>
    </row>
    <row r="397" spans="1:11" ht="30" hidden="1" x14ac:dyDescent="0.25">
      <c r="A397" s="1" t="s">
        <v>162</v>
      </c>
      <c r="B397" s="1" t="s">
        <v>351</v>
      </c>
      <c r="C397" s="1">
        <v>3</v>
      </c>
      <c r="D397" s="1" t="s">
        <v>364</v>
      </c>
      <c r="E397" s="1" t="s">
        <v>422</v>
      </c>
      <c r="F397" s="1" t="str">
        <f>IF(COUNTIF(D:D,"="&amp;D397)=1,"Oui","Non")</f>
        <v>Oui</v>
      </c>
      <c r="G397" s="3" t="s">
        <v>645</v>
      </c>
      <c r="H397" s="1" t="s">
        <v>396</v>
      </c>
      <c r="I397" s="1" t="s">
        <v>387</v>
      </c>
      <c r="J397" s="9" t="s">
        <v>387</v>
      </c>
      <c r="K397" s="3" t="s">
        <v>398</v>
      </c>
    </row>
    <row r="398" spans="1:11" hidden="1" x14ac:dyDescent="0.25">
      <c r="A398" s="1" t="s">
        <v>162</v>
      </c>
      <c r="B398" s="1" t="s">
        <v>351</v>
      </c>
      <c r="C398" s="1">
        <v>4</v>
      </c>
      <c r="D398" s="1" t="s">
        <v>365</v>
      </c>
      <c r="E398" s="1" t="s">
        <v>646</v>
      </c>
      <c r="F398" s="1" t="str">
        <f>IF(COUNTIF(D:D,"="&amp;D398)=1,"Oui","Non")</f>
        <v>Oui</v>
      </c>
      <c r="G398" s="3" t="s">
        <v>647</v>
      </c>
      <c r="H398" s="1" t="s">
        <v>424</v>
      </c>
      <c r="I398" s="1" t="s">
        <v>441</v>
      </c>
      <c r="J398" s="9" t="s">
        <v>562</v>
      </c>
      <c r="K398" s="3" t="s">
        <v>388</v>
      </c>
    </row>
    <row r="399" spans="1:11" hidden="1" x14ac:dyDescent="0.25">
      <c r="A399" s="1" t="s">
        <v>162</v>
      </c>
      <c r="B399" s="1" t="s">
        <v>351</v>
      </c>
      <c r="C399" s="1">
        <v>4</v>
      </c>
      <c r="D399" s="1" t="s">
        <v>348</v>
      </c>
      <c r="E399" s="1" t="s">
        <v>628</v>
      </c>
      <c r="F399" s="1" t="str">
        <f>IF(COUNTIF(D:D,"="&amp;D399)=1,"Oui","Non")</f>
        <v>Non</v>
      </c>
      <c r="G399" s="3" t="s">
        <v>471</v>
      </c>
      <c r="H399" s="1" t="s">
        <v>424</v>
      </c>
      <c r="I399" s="1" t="s">
        <v>387</v>
      </c>
      <c r="J399" s="9" t="s">
        <v>387</v>
      </c>
      <c r="K399" s="3" t="s">
        <v>472</v>
      </c>
    </row>
    <row r="400" spans="1:11" ht="30" hidden="1" x14ac:dyDescent="0.25">
      <c r="A400" s="1" t="s">
        <v>162</v>
      </c>
      <c r="B400" s="1" t="s">
        <v>351</v>
      </c>
      <c r="C400" s="1">
        <v>4</v>
      </c>
      <c r="D400" s="1" t="s">
        <v>366</v>
      </c>
      <c r="E400" s="1" t="s">
        <v>311</v>
      </c>
      <c r="F400" s="1" t="str">
        <f>IF(COUNTIF(D:D,"="&amp;D400)=1,"Oui","Non")</f>
        <v>Oui</v>
      </c>
      <c r="G400" s="3" t="s">
        <v>648</v>
      </c>
      <c r="H400" s="1" t="s">
        <v>424</v>
      </c>
      <c r="I400" s="1" t="s">
        <v>635</v>
      </c>
      <c r="J400" s="9">
        <v>7</v>
      </c>
      <c r="K400" s="3" t="s">
        <v>449</v>
      </c>
    </row>
    <row r="401" spans="1:11" hidden="1" x14ac:dyDescent="0.25">
      <c r="A401" s="1" t="s">
        <v>162</v>
      </c>
      <c r="B401" s="1" t="s">
        <v>351</v>
      </c>
      <c r="C401" s="1">
        <v>5</v>
      </c>
      <c r="D401" s="1" t="s">
        <v>138</v>
      </c>
      <c r="E401" s="1" t="s">
        <v>633</v>
      </c>
      <c r="F401" s="1" t="str">
        <f>IF(COUNTIF(D:D,"="&amp;D401)=1,"Oui","Non")</f>
        <v>Non</v>
      </c>
      <c r="G401" s="3" t="s">
        <v>450</v>
      </c>
      <c r="H401" s="1" t="s">
        <v>390</v>
      </c>
      <c r="I401" s="1" t="s">
        <v>487</v>
      </c>
      <c r="J401" s="9">
        <v>8</v>
      </c>
      <c r="K401" s="3" t="s">
        <v>451</v>
      </c>
    </row>
    <row r="402" spans="1:11" hidden="1" x14ac:dyDescent="0.25">
      <c r="A402" s="1" t="s">
        <v>162</v>
      </c>
      <c r="B402" s="1" t="s">
        <v>351</v>
      </c>
      <c r="C402" s="1">
        <v>5</v>
      </c>
      <c r="D402" s="1" t="s">
        <v>367</v>
      </c>
      <c r="E402" s="1" t="s">
        <v>628</v>
      </c>
      <c r="F402" s="1" t="str">
        <f>IF(COUNTIF(D:D,"="&amp;D402)=1,"Oui","Non")</f>
        <v>Oui</v>
      </c>
      <c r="G402" s="3" t="s">
        <v>649</v>
      </c>
      <c r="H402" s="1" t="s">
        <v>390</v>
      </c>
      <c r="I402" s="1" t="s">
        <v>650</v>
      </c>
      <c r="J402" s="9">
        <v>8</v>
      </c>
      <c r="K402" s="3" t="s">
        <v>651</v>
      </c>
    </row>
    <row r="403" spans="1:11" hidden="1" x14ac:dyDescent="0.25">
      <c r="A403" s="1" t="s">
        <v>162</v>
      </c>
      <c r="B403" s="1" t="s">
        <v>368</v>
      </c>
      <c r="C403" s="1">
        <v>1</v>
      </c>
      <c r="D403" s="1" t="s">
        <v>369</v>
      </c>
      <c r="E403" s="1" t="s">
        <v>653</v>
      </c>
      <c r="F403" s="1" t="str">
        <f>IF(COUNTIF(D:D,"="&amp;D403)=1,"Oui","Non")</f>
        <v>Oui</v>
      </c>
      <c r="G403" s="3" t="s">
        <v>654</v>
      </c>
      <c r="H403" s="1" t="s">
        <v>390</v>
      </c>
      <c r="I403" s="1" t="s">
        <v>387</v>
      </c>
      <c r="J403" s="9" t="s">
        <v>387</v>
      </c>
      <c r="K403" s="3" t="s">
        <v>388</v>
      </c>
    </row>
    <row r="404" spans="1:11" ht="30" hidden="1" x14ac:dyDescent="0.25">
      <c r="A404" s="1" t="s">
        <v>162</v>
      </c>
      <c r="B404" s="1" t="s">
        <v>368</v>
      </c>
      <c r="C404" s="1">
        <v>1</v>
      </c>
      <c r="D404" s="1" t="s">
        <v>370</v>
      </c>
      <c r="E404" s="1" t="s">
        <v>676</v>
      </c>
      <c r="F404" s="1" t="str">
        <f>IF(COUNTIF(D:D,"="&amp;D404)=1,"Oui","Non")</f>
        <v>Oui</v>
      </c>
      <c r="G404" s="3" t="s">
        <v>655</v>
      </c>
      <c r="H404" s="1" t="s">
        <v>424</v>
      </c>
      <c r="I404" s="1" t="s">
        <v>656</v>
      </c>
      <c r="J404" s="9">
        <v>7</v>
      </c>
      <c r="K404" s="3" t="s">
        <v>495</v>
      </c>
    </row>
    <row r="405" spans="1:11" hidden="1" x14ac:dyDescent="0.25">
      <c r="A405" s="1" t="s">
        <v>162</v>
      </c>
      <c r="B405" s="1" t="s">
        <v>368</v>
      </c>
      <c r="C405" s="1">
        <v>1</v>
      </c>
      <c r="D405" s="1" t="s">
        <v>657</v>
      </c>
      <c r="E405" s="1" t="s">
        <v>427</v>
      </c>
      <c r="F405" s="1" t="str">
        <f>IF(COUNTIF(D:D,"="&amp;D405)=1,"Oui","Non")</f>
        <v>Oui</v>
      </c>
      <c r="G405" s="3" t="s">
        <v>658</v>
      </c>
      <c r="H405" s="1" t="s">
        <v>390</v>
      </c>
      <c r="I405" s="1" t="s">
        <v>387</v>
      </c>
      <c r="J405" s="9" t="s">
        <v>387</v>
      </c>
      <c r="K405" s="3" t="s">
        <v>411</v>
      </c>
    </row>
    <row r="406" spans="1:11" ht="30" hidden="1" x14ac:dyDescent="0.25">
      <c r="A406" s="1" t="s">
        <v>162</v>
      </c>
      <c r="B406" s="1" t="s">
        <v>368</v>
      </c>
      <c r="C406" s="1">
        <v>1</v>
      </c>
      <c r="D406" s="1" t="s">
        <v>371</v>
      </c>
      <c r="E406" s="1" t="s">
        <v>633</v>
      </c>
      <c r="F406" s="1" t="str">
        <f>IF(COUNTIF(D:D,"="&amp;D406)=1,"Oui","Non")</f>
        <v>Oui</v>
      </c>
      <c r="G406" s="3" t="s">
        <v>659</v>
      </c>
      <c r="H406" s="1" t="s">
        <v>424</v>
      </c>
      <c r="I406" s="1" t="s">
        <v>387</v>
      </c>
      <c r="J406" s="9" t="s">
        <v>387</v>
      </c>
      <c r="K406" s="3" t="s">
        <v>388</v>
      </c>
    </row>
    <row r="407" spans="1:11" hidden="1" x14ac:dyDescent="0.25">
      <c r="A407" s="1" t="s">
        <v>162</v>
      </c>
      <c r="B407" s="1" t="s">
        <v>368</v>
      </c>
      <c r="C407" s="1">
        <v>1</v>
      </c>
      <c r="D407" s="1" t="s">
        <v>106</v>
      </c>
      <c r="E407" s="1" t="s">
        <v>389</v>
      </c>
      <c r="F407" s="1" t="str">
        <f>IF(COUNTIF(D:D,"="&amp;D407)=1,"Oui","Non")</f>
        <v>Non</v>
      </c>
      <c r="G407" s="3" t="s">
        <v>436</v>
      </c>
      <c r="H407" s="1" t="s">
        <v>396</v>
      </c>
      <c r="I407" s="1" t="s">
        <v>387</v>
      </c>
      <c r="J407" s="9" t="s">
        <v>387</v>
      </c>
      <c r="K407" s="3" t="s">
        <v>388</v>
      </c>
    </row>
    <row r="408" spans="1:11" hidden="1" x14ac:dyDescent="0.25">
      <c r="A408" s="1" t="s">
        <v>162</v>
      </c>
      <c r="B408" s="1" t="s">
        <v>368</v>
      </c>
      <c r="C408" s="1">
        <v>2</v>
      </c>
      <c r="D408" s="1" t="s">
        <v>247</v>
      </c>
      <c r="E408" s="1" t="s">
        <v>422</v>
      </c>
      <c r="F408" s="1" t="str">
        <f>IF(COUNTIF(D:D,"="&amp;D408)=1,"Oui","Non")</f>
        <v>Non</v>
      </c>
    </row>
    <row r="409" spans="1:11" ht="30" hidden="1" x14ac:dyDescent="0.25">
      <c r="A409" s="1" t="s">
        <v>162</v>
      </c>
      <c r="B409" s="1" t="s">
        <v>368</v>
      </c>
      <c r="C409" s="1">
        <v>2</v>
      </c>
      <c r="D409" s="1" t="s">
        <v>372</v>
      </c>
      <c r="E409" s="1" t="s">
        <v>520</v>
      </c>
      <c r="F409" s="1" t="str">
        <f>IF(COUNTIF(D:D,"="&amp;D409)=1,"Oui","Non")</f>
        <v>Oui</v>
      </c>
      <c r="G409" s="3" t="s">
        <v>660</v>
      </c>
      <c r="H409" s="1" t="s">
        <v>424</v>
      </c>
      <c r="I409" s="1" t="s">
        <v>420</v>
      </c>
      <c r="J409" s="9">
        <v>7</v>
      </c>
      <c r="K409" s="3" t="s">
        <v>388</v>
      </c>
    </row>
    <row r="410" spans="1:11" ht="30" hidden="1" x14ac:dyDescent="0.25">
      <c r="A410" s="1" t="s">
        <v>162</v>
      </c>
      <c r="B410" s="1" t="s">
        <v>368</v>
      </c>
      <c r="C410" s="1">
        <v>2</v>
      </c>
      <c r="D410" s="1" t="s">
        <v>373</v>
      </c>
      <c r="E410" s="1" t="s">
        <v>673</v>
      </c>
      <c r="F410" s="1" t="str">
        <f>IF(COUNTIF(D:D,"="&amp;D410)=1,"Oui","Non")</f>
        <v>Oui</v>
      </c>
      <c r="G410" s="3" t="s">
        <v>661</v>
      </c>
      <c r="H410" s="1" t="s">
        <v>390</v>
      </c>
      <c r="I410" s="1" t="s">
        <v>387</v>
      </c>
      <c r="J410" s="9" t="s">
        <v>387</v>
      </c>
      <c r="K410" s="3" t="s">
        <v>411</v>
      </c>
    </row>
    <row r="411" spans="1:11" hidden="1" x14ac:dyDescent="0.25">
      <c r="A411" s="1" t="s">
        <v>162</v>
      </c>
      <c r="B411" s="1" t="s">
        <v>368</v>
      </c>
      <c r="C411" s="1">
        <v>2</v>
      </c>
      <c r="D411" s="1" t="s">
        <v>374</v>
      </c>
      <c r="E411" s="1" t="s">
        <v>653</v>
      </c>
      <c r="F411" s="1" t="str">
        <f>IF(COUNTIF(D:D,"="&amp;D411)=1,"Oui","Non")</f>
        <v>Oui</v>
      </c>
      <c r="G411" s="3" t="s">
        <v>662</v>
      </c>
      <c r="H411" s="1" t="s">
        <v>396</v>
      </c>
      <c r="I411" s="1" t="s">
        <v>387</v>
      </c>
      <c r="J411" s="9" t="s">
        <v>387</v>
      </c>
      <c r="K411" s="3" t="s">
        <v>388</v>
      </c>
    </row>
    <row r="412" spans="1:11" hidden="1" x14ac:dyDescent="0.25">
      <c r="A412" s="1" t="s">
        <v>162</v>
      </c>
      <c r="B412" s="1" t="s">
        <v>368</v>
      </c>
      <c r="C412" s="1">
        <v>2</v>
      </c>
      <c r="D412" s="1" t="s">
        <v>148</v>
      </c>
      <c r="E412" s="1" t="s">
        <v>769</v>
      </c>
      <c r="F412" s="1" t="str">
        <f>IF(COUNTIF(D:D,"="&amp;D412)=1,"Oui","Non")</f>
        <v>Non</v>
      </c>
      <c r="G412" s="3" t="s">
        <v>458</v>
      </c>
      <c r="H412" s="1" t="s">
        <v>390</v>
      </c>
      <c r="I412" s="1" t="s">
        <v>457</v>
      </c>
      <c r="J412" s="9" t="s">
        <v>475</v>
      </c>
      <c r="K412" s="3" t="s">
        <v>449</v>
      </c>
    </row>
    <row r="413" spans="1:11" ht="30" hidden="1" x14ac:dyDescent="0.25">
      <c r="A413" s="1" t="s">
        <v>162</v>
      </c>
      <c r="B413" s="1" t="s">
        <v>368</v>
      </c>
      <c r="C413" s="1">
        <v>3</v>
      </c>
      <c r="D413" s="1" t="s">
        <v>375</v>
      </c>
      <c r="E413" s="1" t="s">
        <v>422</v>
      </c>
      <c r="F413" s="1" t="str">
        <f>IF(COUNTIF(D:D,"="&amp;D413)=1,"Oui","Non")</f>
        <v>Oui</v>
      </c>
      <c r="G413" s="3" t="s">
        <v>663</v>
      </c>
      <c r="H413" s="1" t="s">
        <v>396</v>
      </c>
      <c r="I413" s="1" t="s">
        <v>387</v>
      </c>
      <c r="J413" s="9" t="s">
        <v>387</v>
      </c>
      <c r="K413" s="3" t="s">
        <v>664</v>
      </c>
    </row>
    <row r="414" spans="1:11" hidden="1" x14ac:dyDescent="0.25">
      <c r="A414" s="1" t="s">
        <v>162</v>
      </c>
      <c r="B414" s="1" t="s">
        <v>368</v>
      </c>
      <c r="C414" s="1">
        <v>3</v>
      </c>
      <c r="D414" s="1" t="s">
        <v>376</v>
      </c>
      <c r="E414" s="1" t="s">
        <v>676</v>
      </c>
      <c r="F414" s="1" t="str">
        <f>IF(COUNTIF(D:D,"="&amp;D414)=1,"Oui","Non")</f>
        <v>Oui</v>
      </c>
      <c r="G414" s="3" t="s">
        <v>666</v>
      </c>
      <c r="H414" s="1" t="s">
        <v>390</v>
      </c>
      <c r="I414" s="1" t="s">
        <v>441</v>
      </c>
      <c r="J414" s="9" t="s">
        <v>665</v>
      </c>
      <c r="K414" s="3" t="s">
        <v>392</v>
      </c>
    </row>
    <row r="415" spans="1:11" ht="30" hidden="1" x14ac:dyDescent="0.25">
      <c r="A415" s="1" t="s">
        <v>162</v>
      </c>
      <c r="B415" s="1" t="s">
        <v>368</v>
      </c>
      <c r="C415" s="1">
        <v>3</v>
      </c>
      <c r="D415" s="1" t="s">
        <v>114</v>
      </c>
      <c r="E415" s="1" t="s">
        <v>439</v>
      </c>
      <c r="F415" s="1" t="str">
        <f>IF(COUNTIF(D:D,"="&amp;D415)=1,"Oui","Non")</f>
        <v>Non</v>
      </c>
      <c r="G415" s="3" t="s">
        <v>440</v>
      </c>
      <c r="H415" s="1" t="s">
        <v>390</v>
      </c>
      <c r="I415" s="1" t="s">
        <v>441</v>
      </c>
      <c r="J415" s="9">
        <v>6</v>
      </c>
      <c r="K415" s="3" t="s">
        <v>442</v>
      </c>
    </row>
    <row r="416" spans="1:11" hidden="1" x14ac:dyDescent="0.25">
      <c r="A416" s="1" t="s">
        <v>162</v>
      </c>
      <c r="B416" s="1" t="s">
        <v>368</v>
      </c>
      <c r="C416" s="1">
        <v>3</v>
      </c>
      <c r="D416" s="1" t="s">
        <v>377</v>
      </c>
      <c r="E416" s="1" t="s">
        <v>653</v>
      </c>
      <c r="F416" s="1" t="str">
        <f>IF(COUNTIF(D:D,"="&amp;D416)=1,"Oui","Non")</f>
        <v>Oui</v>
      </c>
      <c r="G416" s="3" t="s">
        <v>667</v>
      </c>
      <c r="H416" s="1" t="s">
        <v>390</v>
      </c>
      <c r="I416" s="1" t="s">
        <v>387</v>
      </c>
      <c r="J416" s="9" t="s">
        <v>387</v>
      </c>
      <c r="K416" s="3" t="s">
        <v>411</v>
      </c>
    </row>
    <row r="417" spans="1:11" ht="30" hidden="1" x14ac:dyDescent="0.25">
      <c r="A417" s="1" t="s">
        <v>162</v>
      </c>
      <c r="B417" s="1" t="s">
        <v>368</v>
      </c>
      <c r="C417" s="1">
        <v>4</v>
      </c>
      <c r="D417" s="1" t="s">
        <v>378</v>
      </c>
      <c r="E417" s="1" t="s">
        <v>676</v>
      </c>
      <c r="F417" s="1" t="str">
        <f>IF(COUNTIF(D:D,"="&amp;D417)=1,"Oui","Non")</f>
        <v>Oui</v>
      </c>
      <c r="G417" s="3" t="s">
        <v>668</v>
      </c>
      <c r="H417" s="3" t="s">
        <v>669</v>
      </c>
      <c r="I417" s="1" t="s">
        <v>670</v>
      </c>
      <c r="J417" s="9">
        <v>8</v>
      </c>
      <c r="K417" s="3" t="s">
        <v>671</v>
      </c>
    </row>
    <row r="418" spans="1:11" hidden="1" x14ac:dyDescent="0.25">
      <c r="A418" s="1" t="s">
        <v>162</v>
      </c>
      <c r="B418" s="1" t="s">
        <v>368</v>
      </c>
      <c r="C418" s="1">
        <v>4</v>
      </c>
      <c r="D418" s="1" t="s">
        <v>55</v>
      </c>
      <c r="E418" s="1" t="s">
        <v>422</v>
      </c>
      <c r="F418" s="1" t="str">
        <f>IF(COUNTIF(D:D,"="&amp;D418)=1,"Oui","Non")</f>
        <v>Non</v>
      </c>
      <c r="G418" s="3" t="s">
        <v>423</v>
      </c>
      <c r="H418" s="1" t="s">
        <v>424</v>
      </c>
      <c r="I418" s="1" t="s">
        <v>387</v>
      </c>
      <c r="J418" s="9" t="s">
        <v>387</v>
      </c>
      <c r="K418" s="3" t="s">
        <v>398</v>
      </c>
    </row>
    <row r="419" spans="1:11" hidden="1" x14ac:dyDescent="0.25">
      <c r="A419" s="1" t="s">
        <v>162</v>
      </c>
      <c r="B419" s="1" t="s">
        <v>368</v>
      </c>
      <c r="C419" s="1">
        <v>4</v>
      </c>
      <c r="D419" s="1" t="s">
        <v>379</v>
      </c>
      <c r="E419" s="1" t="s">
        <v>653</v>
      </c>
      <c r="F419" s="1" t="str">
        <f>IF(COUNTIF(D:D,"="&amp;D419)=1,"Oui","Non")</f>
        <v>Oui</v>
      </c>
      <c r="G419" s="3" t="s">
        <v>672</v>
      </c>
      <c r="H419" s="1" t="s">
        <v>424</v>
      </c>
      <c r="I419" s="1" t="s">
        <v>600</v>
      </c>
      <c r="J419" s="9" t="s">
        <v>475</v>
      </c>
      <c r="K419" s="3" t="s">
        <v>449</v>
      </c>
    </row>
    <row r="420" spans="1:11" ht="30" hidden="1" x14ac:dyDescent="0.25">
      <c r="A420" s="1" t="s">
        <v>162</v>
      </c>
      <c r="B420" s="1" t="s">
        <v>368</v>
      </c>
      <c r="C420" s="1">
        <v>4</v>
      </c>
      <c r="D420" s="1" t="s">
        <v>255</v>
      </c>
      <c r="E420" s="8" t="s">
        <v>422</v>
      </c>
      <c r="F420" s="1" t="str">
        <f>IF(COUNTIF(D:D,"="&amp;D420)=1,"Oui","Non")</f>
        <v>Non</v>
      </c>
      <c r="G420" s="3" t="s">
        <v>468</v>
      </c>
      <c r="H420" s="1" t="s">
        <v>390</v>
      </c>
      <c r="I420" s="1" t="s">
        <v>488</v>
      </c>
      <c r="J420" s="9">
        <v>8</v>
      </c>
      <c r="K420" s="3" t="s">
        <v>469</v>
      </c>
    </row>
    <row r="421" spans="1:11" ht="30" hidden="1" x14ac:dyDescent="0.25">
      <c r="A421" s="1" t="s">
        <v>162</v>
      </c>
      <c r="B421" s="1" t="s">
        <v>368</v>
      </c>
      <c r="C421" s="1">
        <v>5</v>
      </c>
      <c r="D421" s="1" t="s">
        <v>380</v>
      </c>
      <c r="E421" s="1" t="s">
        <v>673</v>
      </c>
      <c r="F421" s="1" t="str">
        <f>IF(COUNTIF(D:D,"="&amp;D421)=1,"Oui","Non")</f>
        <v>Oui</v>
      </c>
      <c r="G421" s="3" t="s">
        <v>674</v>
      </c>
      <c r="H421" s="1" t="s">
        <v>424</v>
      </c>
      <c r="I421" s="1" t="s">
        <v>488</v>
      </c>
      <c r="J421" s="9" t="s">
        <v>475</v>
      </c>
      <c r="K421" s="3" t="s">
        <v>388</v>
      </c>
    </row>
    <row r="422" spans="1:11" hidden="1" x14ac:dyDescent="0.25">
      <c r="A422" s="1" t="s">
        <v>162</v>
      </c>
      <c r="B422" s="1" t="s">
        <v>368</v>
      </c>
      <c r="C422" s="1">
        <v>5</v>
      </c>
      <c r="D422" s="1" t="s">
        <v>381</v>
      </c>
      <c r="E422" s="1" t="s">
        <v>653</v>
      </c>
      <c r="F422" s="1" t="str">
        <f>IF(COUNTIF(D:D,"="&amp;D422)=1,"Oui","Non")</f>
        <v>Oui</v>
      </c>
      <c r="G422" s="3" t="s">
        <v>675</v>
      </c>
      <c r="H422" s="1" t="s">
        <v>424</v>
      </c>
      <c r="I422" s="1" t="s">
        <v>624</v>
      </c>
      <c r="J422" s="9" t="s">
        <v>488</v>
      </c>
      <c r="K422" s="3" t="s">
        <v>398</v>
      </c>
    </row>
  </sheetData>
  <autoFilter ref="A1:K422" xr:uid="{0A2BBA6B-F0F3-49A4-829D-3714ACDA9F1D}">
    <filterColumn colId="1">
      <filters>
        <filter val="Fils de Fenrir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BA778-DA30-4EA6-A9D5-58601F95069A}">
  <dimension ref="A1:E22"/>
  <sheetViews>
    <sheetView workbookViewId="0">
      <selection activeCell="E16" sqref="E16"/>
    </sheetView>
  </sheetViews>
  <sheetFormatPr baseColWidth="10" defaultRowHeight="15" x14ac:dyDescent="0.25"/>
  <cols>
    <col min="1" max="1" width="14.5703125" bestFit="1" customWidth="1"/>
    <col min="2" max="2" width="20.7109375" bestFit="1" customWidth="1"/>
    <col min="3" max="3" width="16.7109375" bestFit="1" customWidth="1"/>
    <col min="4" max="4" width="19.7109375" bestFit="1" customWidth="1"/>
  </cols>
  <sheetData>
    <row r="1" spans="1:5" x14ac:dyDescent="0.25">
      <c r="A1" s="12" t="s">
        <v>159</v>
      </c>
      <c r="B1" s="12" t="s">
        <v>0</v>
      </c>
      <c r="C1" s="12" t="s">
        <v>593</v>
      </c>
      <c r="D1" s="12" t="s">
        <v>764</v>
      </c>
    </row>
    <row r="2" spans="1:5" x14ac:dyDescent="0.25">
      <c r="A2" t="s">
        <v>160</v>
      </c>
      <c r="B2" s="13" t="s">
        <v>3</v>
      </c>
      <c r="C2" s="1" t="s">
        <v>595</v>
      </c>
      <c r="D2" t="s">
        <v>560</v>
      </c>
    </row>
    <row r="3" spans="1:5" x14ac:dyDescent="0.25">
      <c r="A3" t="s">
        <v>160</v>
      </c>
      <c r="B3" s="13" t="s">
        <v>21</v>
      </c>
      <c r="C3" t="s">
        <v>677</v>
      </c>
      <c r="D3" t="s">
        <v>520</v>
      </c>
    </row>
    <row r="4" spans="1:5" x14ac:dyDescent="0.25">
      <c r="A4" t="s">
        <v>160</v>
      </c>
      <c r="B4" s="13" t="s">
        <v>41</v>
      </c>
      <c r="C4" t="s">
        <v>452</v>
      </c>
      <c r="D4" s="1" t="s">
        <v>573</v>
      </c>
    </row>
    <row r="5" spans="1:5" x14ac:dyDescent="0.25">
      <c r="A5" t="s">
        <v>161</v>
      </c>
      <c r="B5" s="13" t="s">
        <v>61</v>
      </c>
      <c r="C5" t="s">
        <v>592</v>
      </c>
      <c r="D5" t="s">
        <v>427</v>
      </c>
    </row>
    <row r="6" spans="1:5" x14ac:dyDescent="0.25">
      <c r="A6" t="s">
        <v>161</v>
      </c>
      <c r="B6" s="13" t="s">
        <v>80</v>
      </c>
      <c r="C6" t="s">
        <v>93</v>
      </c>
      <c r="D6" t="s">
        <v>652</v>
      </c>
    </row>
    <row r="7" spans="1:5" x14ac:dyDescent="0.25">
      <c r="A7" t="s">
        <v>161</v>
      </c>
      <c r="B7" s="13" t="s">
        <v>103</v>
      </c>
      <c r="C7" t="s">
        <v>678</v>
      </c>
      <c r="D7" t="s">
        <v>687</v>
      </c>
    </row>
    <row r="8" spans="1:5" x14ac:dyDescent="0.25">
      <c r="A8" t="s">
        <v>161</v>
      </c>
      <c r="B8" s="13" t="s">
        <v>122</v>
      </c>
      <c r="C8" t="s">
        <v>712</v>
      </c>
      <c r="D8" t="s">
        <v>713</v>
      </c>
    </row>
    <row r="9" spans="1:5" x14ac:dyDescent="0.25">
      <c r="A9" t="s">
        <v>161</v>
      </c>
      <c r="B9" s="13" t="s">
        <v>140</v>
      </c>
      <c r="C9" t="s">
        <v>769</v>
      </c>
      <c r="D9" t="s">
        <v>768</v>
      </c>
    </row>
    <row r="10" spans="1:5" x14ac:dyDescent="0.25">
      <c r="A10" t="s">
        <v>162</v>
      </c>
      <c r="B10" s="13" t="s">
        <v>163</v>
      </c>
      <c r="C10" t="s">
        <v>757</v>
      </c>
      <c r="D10" t="s">
        <v>576</v>
      </c>
    </row>
    <row r="11" spans="1:5" x14ac:dyDescent="0.25">
      <c r="A11" t="s">
        <v>162</v>
      </c>
      <c r="B11" s="13" t="s">
        <v>179</v>
      </c>
      <c r="C11" t="s">
        <v>783</v>
      </c>
      <c r="D11" t="s">
        <v>488</v>
      </c>
    </row>
    <row r="12" spans="1:5" x14ac:dyDescent="0.25">
      <c r="A12" t="s">
        <v>162</v>
      </c>
      <c r="B12" s="13" t="s">
        <v>197</v>
      </c>
      <c r="C12" t="s">
        <v>797</v>
      </c>
      <c r="D12" t="s">
        <v>804</v>
      </c>
    </row>
    <row r="13" spans="1:5" x14ac:dyDescent="0.25">
      <c r="A13" t="s">
        <v>162</v>
      </c>
      <c r="B13" s="13" t="s">
        <v>213</v>
      </c>
      <c r="C13" t="s">
        <v>844</v>
      </c>
      <c r="D13" t="s">
        <v>843</v>
      </c>
    </row>
    <row r="14" spans="1:5" x14ac:dyDescent="0.25">
      <c r="A14" t="s">
        <v>162</v>
      </c>
      <c r="B14" s="13" t="s">
        <v>229</v>
      </c>
      <c r="C14" t="s">
        <v>867</v>
      </c>
      <c r="D14" t="s">
        <v>868</v>
      </c>
      <c r="E14" t="s">
        <v>847</v>
      </c>
    </row>
    <row r="15" spans="1:5" x14ac:dyDescent="0.25">
      <c r="A15" t="s">
        <v>162</v>
      </c>
      <c r="B15" t="s">
        <v>244</v>
      </c>
      <c r="C15" t="s">
        <v>870</v>
      </c>
      <c r="E15" t="s">
        <v>871</v>
      </c>
    </row>
    <row r="16" spans="1:5" x14ac:dyDescent="0.25">
      <c r="A16" t="s">
        <v>162</v>
      </c>
      <c r="B16" t="s">
        <v>260</v>
      </c>
    </row>
    <row r="17" spans="1:5" x14ac:dyDescent="0.25">
      <c r="A17" t="s">
        <v>162</v>
      </c>
      <c r="B17" t="s">
        <v>275</v>
      </c>
    </row>
    <row r="18" spans="1:5" x14ac:dyDescent="0.25">
      <c r="A18" t="s">
        <v>162</v>
      </c>
      <c r="B18" t="s">
        <v>293</v>
      </c>
      <c r="E18" t="s">
        <v>296</v>
      </c>
    </row>
    <row r="19" spans="1:5" x14ac:dyDescent="0.25">
      <c r="A19" t="s">
        <v>162</v>
      </c>
      <c r="B19" t="s">
        <v>314</v>
      </c>
      <c r="C19" s="1"/>
    </row>
    <row r="20" spans="1:5" x14ac:dyDescent="0.25">
      <c r="A20" t="s">
        <v>162</v>
      </c>
      <c r="B20" t="s">
        <v>332</v>
      </c>
      <c r="C20" s="8"/>
    </row>
    <row r="21" spans="1:5" x14ac:dyDescent="0.25">
      <c r="A21" t="s">
        <v>162</v>
      </c>
      <c r="B21" s="13" t="s">
        <v>351</v>
      </c>
      <c r="C21" t="s">
        <v>628</v>
      </c>
      <c r="D21" t="s">
        <v>633</v>
      </c>
    </row>
    <row r="22" spans="1:5" x14ac:dyDescent="0.25">
      <c r="A22" t="s">
        <v>162</v>
      </c>
      <c r="B22" s="13" t="s">
        <v>368</v>
      </c>
      <c r="C22" t="s">
        <v>653</v>
      </c>
      <c r="D22" t="s">
        <v>676</v>
      </c>
    </row>
  </sheetData>
  <autoFilter ref="A1:D22" xr:uid="{AA0A2059-2468-4436-9D39-9E427EB14547}"/>
  <conditionalFormatting sqref="C2:D22 E15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Repartition thèmes par liste</vt:lpstr>
      <vt:lpstr>Dons d'origine</vt:lpstr>
      <vt:lpstr>Listes par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2019-06-27T14:21:49Z</dcterms:modified>
</cp:coreProperties>
</file>