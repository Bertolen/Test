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ocuments\Autre\Kikou Lol\"/>
    </mc:Choice>
  </mc:AlternateContent>
  <bookViews>
    <workbookView xWindow="0" yWindow="0" windowWidth="38400" windowHeight="17610"/>
  </bookViews>
  <sheets>
    <sheet name="test" sheetId="1" r:id="rId1"/>
  </sheets>
  <definedNames>
    <definedName name="_xlnm._FilterDatabase" localSheetId="0" hidden="1">test!$A$4:$M$4</definedName>
  </definedNames>
  <calcPr calcId="171027"/>
</workbook>
</file>

<file path=xl/calcChain.xml><?xml version="1.0" encoding="utf-8"?>
<calcChain xmlns="http://schemas.openxmlformats.org/spreadsheetml/2006/main">
  <c r="F11" i="1" l="1"/>
  <c r="F10" i="1"/>
  <c r="F21" i="1"/>
  <c r="F7" i="1"/>
  <c r="F9" i="1"/>
  <c r="F14" i="1"/>
  <c r="F6" i="1"/>
  <c r="F16" i="1"/>
  <c r="F19" i="1"/>
  <c r="F13" i="1"/>
  <c r="F15" i="1"/>
  <c r="F17" i="1"/>
  <c r="F12" i="1"/>
  <c r="F8" i="1"/>
  <c r="F20" i="1"/>
  <c r="F18" i="1"/>
  <c r="F22" i="1"/>
  <c r="F5" i="1"/>
  <c r="H16" i="1"/>
  <c r="I16" i="1" s="1"/>
  <c r="H12" i="1"/>
  <c r="I12" i="1" s="1"/>
  <c r="H19" i="1"/>
  <c r="I19" i="1" s="1"/>
  <c r="H15" i="1"/>
  <c r="H22" i="1"/>
  <c r="H7" i="1"/>
  <c r="H20" i="1"/>
  <c r="I20" i="1" s="1"/>
  <c r="H14" i="1"/>
  <c r="I14" i="1" s="1"/>
  <c r="H21" i="1"/>
  <c r="H18" i="1"/>
  <c r="H10" i="1"/>
  <c r="I10" i="1" s="1"/>
  <c r="I7" i="1" l="1"/>
  <c r="J7" i="1" s="1"/>
  <c r="K7" i="1" s="1"/>
  <c r="I18" i="1"/>
  <c r="J18" i="1" s="1"/>
  <c r="K18" i="1" s="1"/>
  <c r="I22" i="1"/>
  <c r="J22" i="1" s="1"/>
  <c r="K22" i="1" s="1"/>
  <c r="I15" i="1"/>
  <c r="J15" i="1" s="1"/>
  <c r="K15" i="1" s="1"/>
  <c r="I21" i="1"/>
  <c r="J21" i="1" s="1"/>
  <c r="K21" i="1" s="1"/>
  <c r="J12" i="1"/>
  <c r="K12" i="1" s="1"/>
  <c r="J10" i="1"/>
  <c r="K10" i="1" s="1"/>
  <c r="J20" i="1"/>
  <c r="K20" i="1" s="1"/>
  <c r="J16" i="1"/>
  <c r="K16" i="1" s="1"/>
  <c r="J14" i="1"/>
  <c r="K14" i="1" s="1"/>
  <c r="J19" i="1"/>
  <c r="K19" i="1" s="1"/>
  <c r="H5" i="1"/>
  <c r="H6" i="1"/>
  <c r="H9" i="1"/>
  <c r="H11" i="1"/>
  <c r="H17" i="1"/>
  <c r="H13" i="1"/>
  <c r="H8" i="1"/>
  <c r="I11" i="1" l="1"/>
  <c r="J11" i="1" s="1"/>
  <c r="K11" i="1" s="1"/>
  <c r="I9" i="1"/>
  <c r="J9" i="1" s="1"/>
  <c r="K9" i="1" s="1"/>
  <c r="I13" i="1"/>
  <c r="J13" i="1" s="1"/>
  <c r="K13" i="1" s="1"/>
  <c r="I6" i="1"/>
  <c r="J6" i="1" s="1"/>
  <c r="K6" i="1" s="1"/>
  <c r="I8" i="1"/>
  <c r="J8" i="1" s="1"/>
  <c r="K8" i="1" s="1"/>
  <c r="I17" i="1"/>
  <c r="J17" i="1" s="1"/>
  <c r="K17" i="1" s="1"/>
  <c r="I5" i="1"/>
  <c r="J5" i="1" s="1"/>
  <c r="K5" i="1" s="1"/>
</calcChain>
</file>

<file path=xl/sharedStrings.xml><?xml version="1.0" encoding="utf-8"?>
<sst xmlns="http://schemas.openxmlformats.org/spreadsheetml/2006/main" count="70" uniqueCount="47">
  <si>
    <t>kWh</t>
  </si>
  <si>
    <t>kWhep</t>
  </si>
  <si>
    <t>Performance energétique (kWhEP/m².an)</t>
  </si>
  <si>
    <t>Surface (m²)</t>
  </si>
  <si>
    <t>kWh/an</t>
  </si>
  <si>
    <t>€/an</t>
  </si>
  <si>
    <t>€/mois</t>
  </si>
  <si>
    <t>Surface/prix</t>
  </si>
  <si>
    <t>Commentaire</t>
  </si>
  <si>
    <t>trop loin des transports</t>
  </si>
  <si>
    <t>non</t>
  </si>
  <si>
    <t>Retenu</t>
  </si>
  <si>
    <t>demande de gros travaux</t>
  </si>
  <si>
    <t>Energie</t>
  </si>
  <si>
    <t>oui</t>
  </si>
  <si>
    <t>bon emplacement mais couteux sur l'electricité</t>
  </si>
  <si>
    <t>travaux à prévoir</t>
  </si>
  <si>
    <t>Nb pièces</t>
  </si>
  <si>
    <t>Nb Chambres</t>
  </si>
  <si>
    <t>le site dit 4 chambres mais la description dit 3
Petit rapport pièces/surface</t>
  </si>
  <si>
    <t>General</t>
  </si>
  <si>
    <t>Lien</t>
  </si>
  <si>
    <t>?</t>
  </si>
  <si>
    <t>Prix d'achat (k€)</t>
  </si>
  <si>
    <t>très proche des transports</t>
  </si>
  <si>
    <t>Une des chambres donne sur le séjour :(</t>
  </si>
  <si>
    <t>Le séjour peut servir de chambre à part si besoin</t>
  </si>
  <si>
    <t>Des travaux pour refaire la sdb sont à prévoir :(</t>
  </si>
  <si>
    <t>https://www.seloger.com/annonces/achat/appartement/noisy-le-grand-93/pve-neuf-mont-d-est/126746259.htm</t>
  </si>
  <si>
    <t>https://www.seloger.com/annonces/achat/appartement/noisy-le-grand-93/cormiers-hauts-batons-champy-butte-verte/136850487.htm</t>
  </si>
  <si>
    <t>proche des transports</t>
  </si>
  <si>
    <t>https://www.seloger.com/annonces/achat/appartement/noisy-le-grand-93/cormiers-hauts-batons-champy-butte-verte/138136503.htm</t>
  </si>
  <si>
    <t>https://www.seloger.com/annonces/achat/appartement/bry-sur-marne-94/les-coteaux/136324561.htm</t>
  </si>
  <si>
    <t>https://www.seloger.com/annonces/achat/appartement/bry-sur-marne-94/les-coteaux/139119491.htm</t>
  </si>
  <si>
    <t>https://www.seloger.com/annonces/achat/appartement/villiers-sur-marne-94/les-boutareines/16247077.htm</t>
  </si>
  <si>
    <t>https://www.seloger.com/annonces/achat/appartement/noisy-le-grand-93/pve-neuf-mont-d-est/134343577.htm</t>
  </si>
  <si>
    <t>https://www.seloger.com/annonces/achat/appartement/noisy-le-grand-93/pve-neuf-mont-d-est/136357959.htm</t>
  </si>
  <si>
    <t>https://www.seloger.com/annonces/achat/appartement/champigny-sur-marne-94/124476811.htm</t>
  </si>
  <si>
    <t>https://www.seloger.com/annonces/achat/appartement/neuilly-sur-marne-93/126243295.htm</t>
  </si>
  <si>
    <t>https://www.seloger.com/annonces/achat/appartement/fontenay-sous-bois-94/larris/139379587.htm</t>
  </si>
  <si>
    <t>https://www.seloger.com/annonces/achat/appartement/neuilly-sur-marne-93/139670313.htm</t>
  </si>
  <si>
    <t>https://www.seloger.com/annonces/achat/appartement/villiers-sur-marne-94/les-portes-de-villiers/135463585.htm</t>
  </si>
  <si>
    <t>https://www.seloger.com/annonces/achat/appartement/noisy-le-grand-93/135373189.htm</t>
  </si>
  <si>
    <t>https://www.seloger.com/annonces/achat/appartement/villiers-sur-marne-94/les-boutareines/138946913.htm</t>
  </si>
  <si>
    <t>https://www.seloger.com/annonces/achat/appartement/fontenay-sous-bois-94/larris/135087903.htm</t>
  </si>
  <si>
    <t xml:space="preserve">Prix du kWh </t>
  </si>
  <si>
    <t>Prix du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</si>
</sst>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11" xfId="0" applyBorder="1"/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16" fillId="0" borderId="18" xfId="0" applyFont="1" applyBorder="1"/>
    <xf numFmtId="0" fontId="0" fillId="0" borderId="19" xfId="0" applyBorder="1"/>
    <xf numFmtId="0" fontId="0" fillId="0" borderId="10" xfId="0" applyBorder="1" applyAlignment="1">
      <alignment wrapText="1"/>
    </xf>
    <xf numFmtId="0" fontId="16" fillId="0" borderId="20" xfId="0" applyFont="1" applyBorder="1"/>
    <xf numFmtId="0" fontId="0" fillId="0" borderId="10" xfId="0" applyFill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8" fillId="0" borderId="10" xfId="42" applyBorder="1"/>
    <xf numFmtId="0" fontId="18" fillId="0" borderId="19" xfId="42" applyBorder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loger.com/annonces/achat/appartement/neuilly-sur-marne-93/126243295.htm" TargetMode="External"/><Relationship Id="rId13" Type="http://schemas.openxmlformats.org/officeDocument/2006/relationships/hyperlink" Target="https://www.seloger.com/annonces/achat/appartement/noisy-le-grand-93/135373189.htm" TargetMode="External"/><Relationship Id="rId3" Type="http://schemas.openxmlformats.org/officeDocument/2006/relationships/hyperlink" Target="https://www.seloger.com/annonces/achat/appartement/bry-sur-marne-94/les-coteaux/139119491.htm" TargetMode="External"/><Relationship Id="rId7" Type="http://schemas.openxmlformats.org/officeDocument/2006/relationships/hyperlink" Target="https://www.seloger.com/annonces/achat/appartement/champigny-sur-marne-94/124476811.htm" TargetMode="External"/><Relationship Id="rId12" Type="http://schemas.openxmlformats.org/officeDocument/2006/relationships/hyperlink" Target="https://www.seloger.com/annonces/achat/appartement/villiers-sur-marne-94/les-boutareines/138946913.htm" TargetMode="External"/><Relationship Id="rId2" Type="http://schemas.openxmlformats.org/officeDocument/2006/relationships/hyperlink" Target="https://www.seloger.com/annonces/achat/appartement/bry-sur-marne-94/les-coteaux/136324561.htm" TargetMode="External"/><Relationship Id="rId1" Type="http://schemas.openxmlformats.org/officeDocument/2006/relationships/hyperlink" Target="https://www.seloger.com/annonces/achat/appartement/noisy-le-grand-93/pve-neuf-mont-d-est/126746259.htm" TargetMode="External"/><Relationship Id="rId6" Type="http://schemas.openxmlformats.org/officeDocument/2006/relationships/hyperlink" Target="https://www.seloger.com/annonces/achat/appartement/noisy-le-grand-93/pve-neuf-mont-d-est/136357959.htm" TargetMode="External"/><Relationship Id="rId11" Type="http://schemas.openxmlformats.org/officeDocument/2006/relationships/hyperlink" Target="https://www.seloger.com/annonces/achat/appartement/villiers-sur-marne-94/les-portes-de-villiers/135463585.htm" TargetMode="External"/><Relationship Id="rId5" Type="http://schemas.openxmlformats.org/officeDocument/2006/relationships/hyperlink" Target="https://www.seloger.com/annonces/achat/appartement/noisy-le-grand-93/pve-neuf-mont-d-est/134343577.ht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seloger.com/annonces/achat/appartement/neuilly-sur-marne-93/139670313.htm" TargetMode="External"/><Relationship Id="rId4" Type="http://schemas.openxmlformats.org/officeDocument/2006/relationships/hyperlink" Target="https://www.seloger.com/annonces/achat/appartement/villiers-sur-marne-94/les-boutareines/16247077.htm" TargetMode="External"/><Relationship Id="rId9" Type="http://schemas.openxmlformats.org/officeDocument/2006/relationships/hyperlink" Target="https://www.seloger.com/annonces/achat/appartement/fontenay-sous-bois-94/larris/139379587.htm" TargetMode="External"/><Relationship Id="rId14" Type="http://schemas.openxmlformats.org/officeDocument/2006/relationships/hyperlink" Target="https://www.seloger.com/annonces/achat/appartement/fontenay-sous-bois-94/larris/13508790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A5" sqref="A5"/>
    </sheetView>
  </sheetViews>
  <sheetFormatPr baseColWidth="10" defaultRowHeight="15" x14ac:dyDescent="0.25"/>
  <cols>
    <col min="2" max="2" width="12" bestFit="1" customWidth="1"/>
    <col min="3" max="3" width="15.140625" bestFit="1" customWidth="1"/>
    <col min="4" max="4" width="14.140625" bestFit="1" customWidth="1"/>
    <col min="5" max="5" width="17.42578125" bestFit="1" customWidth="1"/>
    <col min="6" max="6" width="17.42578125" customWidth="1"/>
    <col min="7" max="7" width="41" bestFit="1" customWidth="1"/>
    <col min="8" max="8" width="22" bestFit="1" customWidth="1"/>
    <col min="9" max="10" width="12" bestFit="1" customWidth="1"/>
    <col min="11" max="11" width="14.140625" bestFit="1" customWidth="1"/>
    <col min="12" max="12" width="9.7109375" bestFit="1" customWidth="1"/>
    <col min="13" max="13" width="43.7109375" bestFit="1" customWidth="1"/>
  </cols>
  <sheetData>
    <row r="1" spans="1:13" x14ac:dyDescent="0.25">
      <c r="G1" t="s">
        <v>0</v>
      </c>
      <c r="H1" t="s">
        <v>1</v>
      </c>
      <c r="I1" t="s">
        <v>45</v>
      </c>
    </row>
    <row r="2" spans="1:13" ht="15.75" thickBot="1" x14ac:dyDescent="0.3">
      <c r="G2">
        <v>1</v>
      </c>
      <c r="H2">
        <v>2.58</v>
      </c>
      <c r="I2">
        <v>0.14499999999999999</v>
      </c>
    </row>
    <row r="3" spans="1:13" ht="15.75" thickBot="1" x14ac:dyDescent="0.3">
      <c r="A3" s="11" t="s">
        <v>20</v>
      </c>
      <c r="B3" s="12"/>
      <c r="C3" s="12"/>
      <c r="D3" s="12"/>
      <c r="E3" s="12"/>
      <c r="F3" s="13"/>
      <c r="G3" s="11" t="s">
        <v>13</v>
      </c>
      <c r="H3" s="12"/>
      <c r="I3" s="12"/>
      <c r="J3" s="12"/>
      <c r="K3" s="13"/>
    </row>
    <row r="4" spans="1:13" ht="15.75" thickBot="1" x14ac:dyDescent="0.3">
      <c r="A4" s="3" t="s">
        <v>21</v>
      </c>
      <c r="B4" s="4" t="s">
        <v>17</v>
      </c>
      <c r="C4" s="4" t="s">
        <v>18</v>
      </c>
      <c r="D4" s="4" t="s">
        <v>3</v>
      </c>
      <c r="E4" s="9" t="s">
        <v>23</v>
      </c>
      <c r="F4" s="9" t="s">
        <v>46</v>
      </c>
      <c r="G4" s="3" t="s">
        <v>2</v>
      </c>
      <c r="H4" s="4" t="s">
        <v>4</v>
      </c>
      <c r="I4" s="4" t="s">
        <v>5</v>
      </c>
      <c r="J4" s="4" t="s">
        <v>6</v>
      </c>
      <c r="K4" s="6" t="s">
        <v>7</v>
      </c>
      <c r="L4" s="3" t="s">
        <v>11</v>
      </c>
      <c r="M4" s="5" t="s">
        <v>8</v>
      </c>
    </row>
    <row r="5" spans="1:13" x14ac:dyDescent="0.25">
      <c r="A5" s="15" t="s">
        <v>37</v>
      </c>
      <c r="B5" s="7">
        <v>5</v>
      </c>
      <c r="C5" s="7">
        <v>4</v>
      </c>
      <c r="D5" s="2">
        <v>102</v>
      </c>
      <c r="E5" s="2">
        <v>158</v>
      </c>
      <c r="F5" s="2">
        <f>E5/D5</f>
        <v>1.5490196078431373</v>
      </c>
      <c r="G5" s="2">
        <v>95</v>
      </c>
      <c r="H5" s="2">
        <f>G5/$H$2*D5</f>
        <v>3755.8139534883717</v>
      </c>
      <c r="I5" s="2">
        <f>H5*$I$2</f>
        <v>544.59302325581382</v>
      </c>
      <c r="J5" s="2">
        <f>I5/12</f>
        <v>45.382751937984487</v>
      </c>
      <c r="K5" s="2">
        <f>D5/J5</f>
        <v>2.2475499092558988</v>
      </c>
      <c r="L5" s="7" t="s">
        <v>10</v>
      </c>
      <c r="M5" s="2" t="s">
        <v>9</v>
      </c>
    </row>
    <row r="6" spans="1:13" x14ac:dyDescent="0.25">
      <c r="A6" s="14" t="s">
        <v>38</v>
      </c>
      <c r="B6" s="1">
        <v>5</v>
      </c>
      <c r="C6" s="1">
        <v>4</v>
      </c>
      <c r="D6" s="1">
        <v>100</v>
      </c>
      <c r="E6" s="1">
        <v>189</v>
      </c>
      <c r="F6" s="2">
        <f>E6/D6</f>
        <v>1.89</v>
      </c>
      <c r="G6" s="1">
        <v>240</v>
      </c>
      <c r="H6" s="1">
        <f>G6/$H$2*D6</f>
        <v>9302.3255813953474</v>
      </c>
      <c r="I6" s="2">
        <f>H6*$I$2</f>
        <v>1348.8372093023254</v>
      </c>
      <c r="J6" s="1">
        <f>I6/12</f>
        <v>112.40310077519378</v>
      </c>
      <c r="K6" s="1">
        <f>D6/J6</f>
        <v>0.88965517241379322</v>
      </c>
      <c r="L6" s="1" t="s">
        <v>10</v>
      </c>
      <c r="M6" s="1" t="s">
        <v>9</v>
      </c>
    </row>
    <row r="7" spans="1:13" x14ac:dyDescent="0.25">
      <c r="A7" s="14" t="s">
        <v>35</v>
      </c>
      <c r="B7" s="10">
        <v>3</v>
      </c>
      <c r="C7" s="10">
        <v>2</v>
      </c>
      <c r="D7" s="10">
        <v>77</v>
      </c>
      <c r="E7" s="10">
        <v>147</v>
      </c>
      <c r="F7" s="2">
        <f>E7/D7</f>
        <v>1.9090909090909092</v>
      </c>
      <c r="G7" s="10">
        <v>188</v>
      </c>
      <c r="H7" s="1">
        <f>G7/$H$2*D7</f>
        <v>5610.8527131782948</v>
      </c>
      <c r="I7" s="2">
        <f>H7*$I$2</f>
        <v>813.5736434108527</v>
      </c>
      <c r="J7" s="1">
        <f>I7/12</f>
        <v>67.797803617571063</v>
      </c>
      <c r="K7" s="1">
        <f>D7/J7</f>
        <v>1.1357300073367571</v>
      </c>
      <c r="L7" s="10" t="s">
        <v>14</v>
      </c>
      <c r="M7" s="10" t="s">
        <v>27</v>
      </c>
    </row>
    <row r="8" spans="1:13" x14ac:dyDescent="0.25">
      <c r="A8" s="14" t="s">
        <v>41</v>
      </c>
      <c r="B8" s="1">
        <v>5</v>
      </c>
      <c r="C8" s="1">
        <v>4</v>
      </c>
      <c r="D8" s="1">
        <v>90</v>
      </c>
      <c r="E8" s="1">
        <v>180</v>
      </c>
      <c r="F8" s="2">
        <f>E8/D8</f>
        <v>2</v>
      </c>
      <c r="G8" s="1">
        <v>295</v>
      </c>
      <c r="H8" s="1">
        <f>G8/$H$2*D8</f>
        <v>10290.697674418605</v>
      </c>
      <c r="I8" s="2">
        <f>H8*$I$2</f>
        <v>1492.1511627906975</v>
      </c>
      <c r="J8" s="1">
        <f>I8/12</f>
        <v>124.34593023255813</v>
      </c>
      <c r="K8" s="1">
        <f>D8/J8</f>
        <v>0.72378725891291651</v>
      </c>
      <c r="L8" s="1" t="s">
        <v>14</v>
      </c>
      <c r="M8" s="1" t="s">
        <v>15</v>
      </c>
    </row>
    <row r="9" spans="1:13" x14ac:dyDescent="0.25">
      <c r="A9" s="14" t="s">
        <v>39</v>
      </c>
      <c r="B9" s="1">
        <v>5</v>
      </c>
      <c r="C9" s="1">
        <v>4</v>
      </c>
      <c r="D9" s="1">
        <v>93.29</v>
      </c>
      <c r="E9" s="1">
        <v>190</v>
      </c>
      <c r="F9" s="2">
        <f>E9/D9</f>
        <v>2.0366598778004072</v>
      </c>
      <c r="G9" s="1">
        <v>190</v>
      </c>
      <c r="H9" s="1">
        <f>G9/$H$2*D9</f>
        <v>6870.1937984496126</v>
      </c>
      <c r="I9" s="2">
        <f>H9*$I$2</f>
        <v>996.1781007751938</v>
      </c>
      <c r="J9" s="1">
        <f>I9/12</f>
        <v>83.014841731266145</v>
      </c>
      <c r="K9" s="1">
        <f>D9/J9</f>
        <v>1.1237749546279494</v>
      </c>
      <c r="L9" s="1" t="s">
        <v>10</v>
      </c>
      <c r="M9" s="1" t="s">
        <v>12</v>
      </c>
    </row>
    <row r="10" spans="1:13" x14ac:dyDescent="0.25">
      <c r="A10" s="14" t="s">
        <v>34</v>
      </c>
      <c r="B10" s="10">
        <v>4</v>
      </c>
      <c r="C10" s="10">
        <v>3</v>
      </c>
      <c r="D10" s="10">
        <v>75.599999999999994</v>
      </c>
      <c r="E10" s="10">
        <v>167.5</v>
      </c>
      <c r="F10" s="2">
        <f>E10/D10</f>
        <v>2.2156084656084656</v>
      </c>
      <c r="G10" s="10">
        <v>180</v>
      </c>
      <c r="H10" s="1">
        <f>G10/$H$2*D10</f>
        <v>5274.4186046511622</v>
      </c>
      <c r="I10" s="2">
        <f>H10*$I$2</f>
        <v>764.79069767441842</v>
      </c>
      <c r="J10" s="1">
        <f>I10/12</f>
        <v>63.732558139534866</v>
      </c>
      <c r="K10" s="1">
        <f>D10/J10</f>
        <v>1.1862068965517243</v>
      </c>
      <c r="L10" s="10" t="s">
        <v>14</v>
      </c>
      <c r="M10" s="10" t="s">
        <v>24</v>
      </c>
    </row>
    <row r="11" spans="1:13" x14ac:dyDescent="0.25">
      <c r="A11" s="14" t="s">
        <v>40</v>
      </c>
      <c r="B11" s="1">
        <v>5</v>
      </c>
      <c r="C11" s="1">
        <v>4</v>
      </c>
      <c r="D11" s="1">
        <v>83.14</v>
      </c>
      <c r="E11" s="1">
        <v>194</v>
      </c>
      <c r="F11" s="2">
        <f>E11/D11</f>
        <v>2.3334135193649268</v>
      </c>
      <c r="G11" s="1">
        <v>164</v>
      </c>
      <c r="H11" s="1">
        <f>G11/$H$2*D11</f>
        <v>5284.8682170542634</v>
      </c>
      <c r="I11" s="2">
        <f>H11*$I$2</f>
        <v>766.3058914728681</v>
      </c>
      <c r="J11" s="1">
        <f>I11/12</f>
        <v>63.858824289405675</v>
      </c>
      <c r="K11" s="1">
        <f>D11/J11</f>
        <v>1.3019343986543317</v>
      </c>
      <c r="L11" s="1" t="s">
        <v>10</v>
      </c>
      <c r="M11" s="1" t="s">
        <v>16</v>
      </c>
    </row>
    <row r="12" spans="1:13" x14ac:dyDescent="0.25">
      <c r="A12" s="14" t="s">
        <v>29</v>
      </c>
      <c r="B12" s="10">
        <v>4</v>
      </c>
      <c r="C12" s="10">
        <v>3</v>
      </c>
      <c r="D12" s="10">
        <v>81</v>
      </c>
      <c r="E12" s="10">
        <v>192</v>
      </c>
      <c r="F12" s="2">
        <f>E12/D12</f>
        <v>2.3703703703703702</v>
      </c>
      <c r="G12" s="10">
        <v>289</v>
      </c>
      <c r="H12" s="1">
        <f>G12/$H$2*D12</f>
        <v>9073.2558139534885</v>
      </c>
      <c r="I12" s="2">
        <f>H12*$I$2</f>
        <v>1315.6220930232557</v>
      </c>
      <c r="J12" s="1">
        <f>I12/12</f>
        <v>109.63517441860465</v>
      </c>
      <c r="K12" s="1">
        <f>D12/J12</f>
        <v>0.73881398401145448</v>
      </c>
      <c r="L12" s="10" t="s">
        <v>14</v>
      </c>
      <c r="M12" s="10" t="s">
        <v>30</v>
      </c>
    </row>
    <row r="13" spans="1:13" x14ac:dyDescent="0.25">
      <c r="A13" s="14" t="s">
        <v>43</v>
      </c>
      <c r="B13" s="1">
        <v>3</v>
      </c>
      <c r="C13" s="1">
        <v>2</v>
      </c>
      <c r="D13" s="1">
        <v>76</v>
      </c>
      <c r="E13" s="1">
        <v>197</v>
      </c>
      <c r="F13" s="2">
        <f>E13/D13</f>
        <v>2.5921052631578947</v>
      </c>
      <c r="G13" s="1">
        <v>259</v>
      </c>
      <c r="H13" s="1">
        <f>G13/$H$2*D13</f>
        <v>7629.4573643410849</v>
      </c>
      <c r="I13" s="2">
        <f>H13*$I$2</f>
        <v>1106.2713178294573</v>
      </c>
      <c r="J13" s="1">
        <f>I13/12</f>
        <v>92.189276485788113</v>
      </c>
      <c r="K13" s="1">
        <f>D13/J13</f>
        <v>0.82439089335641058</v>
      </c>
      <c r="L13" s="1" t="s">
        <v>14</v>
      </c>
      <c r="M13" s="1" t="s">
        <v>24</v>
      </c>
    </row>
    <row r="14" spans="1:13" x14ac:dyDescent="0.25">
      <c r="A14" s="14" t="s">
        <v>44</v>
      </c>
      <c r="B14" s="10">
        <v>3</v>
      </c>
      <c r="C14" s="10">
        <v>2</v>
      </c>
      <c r="D14" s="10">
        <v>65</v>
      </c>
      <c r="E14" s="10">
        <v>169</v>
      </c>
      <c r="F14" s="2">
        <f>E14/D14</f>
        <v>2.6</v>
      </c>
      <c r="G14" s="10">
        <v>193</v>
      </c>
      <c r="H14" s="1">
        <f>G14/$H$2*D14</f>
        <v>4862.4031007751937</v>
      </c>
      <c r="I14" s="2">
        <f>H14*$I$2</f>
        <v>705.04844961240303</v>
      </c>
      <c r="J14" s="1">
        <f>I14/12</f>
        <v>58.75403746770025</v>
      </c>
      <c r="K14" s="1">
        <f>D14/J14</f>
        <v>1.1063069501518672</v>
      </c>
      <c r="L14" s="10" t="s">
        <v>14</v>
      </c>
      <c r="M14" s="10" t="s">
        <v>24</v>
      </c>
    </row>
    <row r="15" spans="1:13" x14ac:dyDescent="0.25">
      <c r="A15" s="14" t="s">
        <v>36</v>
      </c>
      <c r="B15" s="10">
        <v>3</v>
      </c>
      <c r="C15" s="10">
        <v>2</v>
      </c>
      <c r="D15" s="10">
        <v>74</v>
      </c>
      <c r="E15" s="10">
        <v>193</v>
      </c>
      <c r="F15" s="2">
        <f>E15/D15</f>
        <v>2.6081081081081079</v>
      </c>
      <c r="G15" s="10">
        <v>278</v>
      </c>
      <c r="H15" s="1">
        <f>G15/$H$2*D15</f>
        <v>7973.6434108527128</v>
      </c>
      <c r="I15" s="2">
        <f>H15*$I$2</f>
        <v>1156.1782945736434</v>
      </c>
      <c r="J15" s="1">
        <f>I15/12</f>
        <v>96.348191214470276</v>
      </c>
      <c r="K15" s="1">
        <f>D15/J15</f>
        <v>0.76804763086082861</v>
      </c>
      <c r="L15" s="10" t="s">
        <v>14</v>
      </c>
      <c r="M15" s="10" t="s">
        <v>24</v>
      </c>
    </row>
    <row r="16" spans="1:13" x14ac:dyDescent="0.25">
      <c r="A16" s="14" t="s">
        <v>31</v>
      </c>
      <c r="B16" s="10">
        <v>3</v>
      </c>
      <c r="C16" s="10">
        <v>2</v>
      </c>
      <c r="D16" s="10">
        <v>66</v>
      </c>
      <c r="E16" s="10">
        <v>178</v>
      </c>
      <c r="F16" s="2">
        <f>E16/D16</f>
        <v>2.6969696969696968</v>
      </c>
      <c r="G16" s="10">
        <v>245</v>
      </c>
      <c r="H16" s="1">
        <f>G16/$H$2*D16</f>
        <v>6267.4418604651155</v>
      </c>
      <c r="I16" s="2">
        <f>H16*$I$2</f>
        <v>908.77906976744168</v>
      </c>
      <c r="J16" s="1">
        <f>I16/12</f>
        <v>75.731589147286812</v>
      </c>
      <c r="K16" s="1">
        <f>D16/J16</f>
        <v>0.87149894440534847</v>
      </c>
      <c r="L16" s="10" t="s">
        <v>14</v>
      </c>
      <c r="M16" s="10" t="s">
        <v>30</v>
      </c>
    </row>
    <row r="17" spans="1:13" ht="30" x14ac:dyDescent="0.25">
      <c r="A17" s="14" t="s">
        <v>42</v>
      </c>
      <c r="B17" s="1">
        <v>4</v>
      </c>
      <c r="C17" s="1">
        <v>3</v>
      </c>
      <c r="D17" s="1">
        <v>63</v>
      </c>
      <c r="E17" s="1">
        <v>175</v>
      </c>
      <c r="F17" s="2">
        <f>E17/D17</f>
        <v>2.7777777777777777</v>
      </c>
      <c r="G17" s="1">
        <v>282</v>
      </c>
      <c r="H17" s="1">
        <f>G17/$H$2*D17</f>
        <v>6886.0465116279074</v>
      </c>
      <c r="I17" s="2">
        <f>H17*$I$2</f>
        <v>998.47674418604652</v>
      </c>
      <c r="J17" s="1">
        <f>I17/12</f>
        <v>83.206395348837205</v>
      </c>
      <c r="K17" s="1">
        <f>D17/J17</f>
        <v>0.75715333822450481</v>
      </c>
      <c r="L17" s="1" t="s">
        <v>14</v>
      </c>
      <c r="M17" s="8" t="s">
        <v>19</v>
      </c>
    </row>
    <row r="18" spans="1:13" x14ac:dyDescent="0.25">
      <c r="A18" s="14" t="s">
        <v>33</v>
      </c>
      <c r="B18" s="10">
        <v>3</v>
      </c>
      <c r="C18" s="10">
        <v>2</v>
      </c>
      <c r="D18" s="10">
        <v>60</v>
      </c>
      <c r="E18" s="10">
        <v>170</v>
      </c>
      <c r="F18" s="2">
        <f>E18/D18</f>
        <v>2.8333333333333335</v>
      </c>
      <c r="G18" s="10" t="s">
        <v>22</v>
      </c>
      <c r="H18" s="1" t="e">
        <f>G18/$H$2*D18</f>
        <v>#VALUE!</v>
      </c>
      <c r="I18" s="2" t="e">
        <f>H18*$I$2</f>
        <v>#VALUE!</v>
      </c>
      <c r="J18" s="1" t="e">
        <f>I18/12</f>
        <v>#VALUE!</v>
      </c>
      <c r="K18" s="1" t="e">
        <f>D18/J18</f>
        <v>#VALUE!</v>
      </c>
      <c r="L18" s="10" t="s">
        <v>14</v>
      </c>
      <c r="M18" s="10" t="s">
        <v>26</v>
      </c>
    </row>
    <row r="19" spans="1:13" x14ac:dyDescent="0.25">
      <c r="A19" s="14" t="s">
        <v>28</v>
      </c>
      <c r="B19" s="10">
        <v>3</v>
      </c>
      <c r="C19" s="10">
        <v>2</v>
      </c>
      <c r="D19" s="10">
        <v>66.400000000000006</v>
      </c>
      <c r="E19" s="10">
        <v>199</v>
      </c>
      <c r="F19" s="2">
        <f>E19/D19</f>
        <v>2.9969879518072289</v>
      </c>
      <c r="G19" s="10">
        <v>250</v>
      </c>
      <c r="H19" s="1">
        <f>G19/$H$2*D19</f>
        <v>6434.1085271317834</v>
      </c>
      <c r="I19" s="2">
        <f>H19*$I$2</f>
        <v>932.94573643410854</v>
      </c>
      <c r="J19" s="1">
        <f>I19/12</f>
        <v>77.745478036175712</v>
      </c>
      <c r="K19" s="1">
        <f>D19/J19</f>
        <v>0.85406896551724143</v>
      </c>
      <c r="L19" s="10" t="s">
        <v>14</v>
      </c>
      <c r="M19" s="10" t="s">
        <v>24</v>
      </c>
    </row>
    <row r="20" spans="1:13" x14ac:dyDescent="0.25">
      <c r="A20" s="1"/>
      <c r="B20" s="10">
        <v>3</v>
      </c>
      <c r="C20" s="10">
        <v>2</v>
      </c>
      <c r="D20" s="10">
        <v>63</v>
      </c>
      <c r="E20" s="10">
        <v>199</v>
      </c>
      <c r="F20" s="2">
        <f>E20/D20</f>
        <v>3.1587301587301586</v>
      </c>
      <c r="G20" s="1" t="s">
        <v>22</v>
      </c>
      <c r="H20" s="1" t="e">
        <f>G20/$H$2*D20</f>
        <v>#VALUE!</v>
      </c>
      <c r="I20" s="2" t="e">
        <f>H20*$I$2</f>
        <v>#VALUE!</v>
      </c>
      <c r="J20" s="1" t="e">
        <f>I20/12</f>
        <v>#VALUE!</v>
      </c>
      <c r="K20" s="1" t="e">
        <f>D20/J20</f>
        <v>#VALUE!</v>
      </c>
      <c r="L20" s="10" t="s">
        <v>14</v>
      </c>
      <c r="M20" s="10" t="s">
        <v>24</v>
      </c>
    </row>
    <row r="21" spans="1:13" x14ac:dyDescent="0.25">
      <c r="A21" s="14" t="s">
        <v>32</v>
      </c>
      <c r="B21" s="10">
        <v>3</v>
      </c>
      <c r="C21" s="10">
        <v>2</v>
      </c>
      <c r="D21" s="10">
        <v>56.52</v>
      </c>
      <c r="E21" s="10">
        <v>195</v>
      </c>
      <c r="F21" s="2">
        <f>E21/D21</f>
        <v>3.4501061571125264</v>
      </c>
      <c r="G21" s="10">
        <v>183</v>
      </c>
      <c r="H21" s="1">
        <f>G21/$H$2*D21</f>
        <v>4008.9767441860467</v>
      </c>
      <c r="I21" s="2">
        <f>H21*$I$2</f>
        <v>581.30162790697671</v>
      </c>
      <c r="J21" s="1">
        <f>I21/12</f>
        <v>48.441802325581392</v>
      </c>
      <c r="K21" s="1">
        <f>D21/J21</f>
        <v>1.1667608818541551</v>
      </c>
      <c r="L21" s="10" t="s">
        <v>14</v>
      </c>
      <c r="M21" s="10" t="s">
        <v>25</v>
      </c>
    </row>
    <row r="22" spans="1:13" x14ac:dyDescent="0.25">
      <c r="A22" s="1"/>
      <c r="B22" s="10"/>
      <c r="C22" s="10"/>
      <c r="D22" s="10"/>
      <c r="E22" s="10"/>
      <c r="F22" s="2" t="e">
        <f>E22/D22</f>
        <v>#DIV/0!</v>
      </c>
      <c r="G22" s="10"/>
      <c r="H22" s="1">
        <f>G22/$H$2*D22</f>
        <v>0</v>
      </c>
      <c r="I22" s="2">
        <f>H22*$I$2</f>
        <v>0</v>
      </c>
      <c r="J22" s="1">
        <f>I22/12</f>
        <v>0</v>
      </c>
      <c r="K22" s="1" t="e">
        <f>D22/J22</f>
        <v>#DIV/0!</v>
      </c>
      <c r="L22" s="10"/>
      <c r="M22" s="10"/>
    </row>
  </sheetData>
  <autoFilter ref="A4:M4">
    <sortState ref="A5:M22">
      <sortCondition ref="F4"/>
    </sortState>
  </autoFilter>
  <mergeCells count="2">
    <mergeCell ref="G3:K3"/>
    <mergeCell ref="A3:F3"/>
  </mergeCells>
  <conditionalFormatting sqref="K5:K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19" r:id="rId1"/>
    <hyperlink ref="A21" r:id="rId2"/>
    <hyperlink ref="A18" r:id="rId3"/>
    <hyperlink ref="A10" r:id="rId4"/>
    <hyperlink ref="A7" r:id="rId5"/>
    <hyperlink ref="A15" r:id="rId6"/>
    <hyperlink ref="A5" r:id="rId7"/>
    <hyperlink ref="A6" r:id="rId8"/>
    <hyperlink ref="A9" r:id="rId9"/>
    <hyperlink ref="A11" r:id="rId10"/>
    <hyperlink ref="A8" r:id="rId11"/>
    <hyperlink ref="A13" r:id="rId12"/>
    <hyperlink ref="A17" r:id="rId13"/>
    <hyperlink ref="A14" r:id="rId14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GIRON</dc:creator>
  <cp:lastModifiedBy>BRUNO GIRON (X181880)</cp:lastModifiedBy>
  <dcterms:created xsi:type="dcterms:W3CDTF">2018-10-22T12:57:47Z</dcterms:created>
  <dcterms:modified xsi:type="dcterms:W3CDTF">2018-10-23T09:07:37Z</dcterms:modified>
</cp:coreProperties>
</file>