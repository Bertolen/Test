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91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X181880\Documents\Kikou Lol\"/>
    </mc:Choice>
  </mc:AlternateContent>
  <xr:revisionPtr revIDLastSave="0" documentId="10_ncr:100000_{4B4ECAC6-23BF-4422-A5D4-4225666C2698}" xr6:coauthVersionLast="31" xr6:coauthVersionMax="31" xr10:uidLastSave="{00000000-0000-0000-0000-000000000000}"/>
  <bookViews>
    <workbookView xWindow="0" yWindow="0" windowWidth="19200" windowHeight="5850" xr2:uid="{00000000-000D-0000-FFFF-FFFF00000000}"/>
  </bookViews>
  <sheets>
    <sheet name="test" sheetId="1" r:id="rId1"/>
    <sheet name="recherches" sheetId="2" r:id="rId2"/>
  </sheets>
  <definedNames>
    <definedName name="_xlnm._FilterDatabase" localSheetId="0" hidden="1">test!$A$4:$L$19</definedName>
  </definedNames>
  <calcPr calcId="179017"/>
</workbook>
</file>

<file path=xl/calcChain.xml><?xml version="1.0" encoding="utf-8"?>
<calcChain xmlns="http://schemas.openxmlformats.org/spreadsheetml/2006/main">
  <c r="H18" i="1" l="1"/>
  <c r="I18" i="1" s="1"/>
  <c r="F18" i="1"/>
  <c r="H11" i="1"/>
  <c r="I11" i="1" s="1"/>
  <c r="F11" i="1"/>
  <c r="F10" i="1"/>
  <c r="H17" i="1"/>
  <c r="I17" i="1" s="1"/>
  <c r="F17" i="1"/>
  <c r="H16" i="1"/>
  <c r="I16" i="1" s="1"/>
  <c r="F16" i="1"/>
  <c r="H9" i="1"/>
  <c r="I9" i="1"/>
  <c r="F9" i="1"/>
  <c r="H15" i="1"/>
  <c r="I15" i="1" s="1"/>
  <c r="F15" i="1"/>
  <c r="H14" i="1"/>
  <c r="I14" i="1" s="1"/>
  <c r="F14" i="1"/>
  <c r="H7" i="1" l="1"/>
  <c r="I7" i="1" s="1"/>
  <c r="F7" i="1"/>
  <c r="H8" i="1"/>
  <c r="I8" i="1" s="1"/>
  <c r="F8" i="1"/>
  <c r="H13" i="1"/>
  <c r="I13" i="1" s="1"/>
  <c r="F13" i="1"/>
  <c r="H19" i="1"/>
  <c r="I19" i="1" s="1"/>
  <c r="F19" i="1"/>
  <c r="H5" i="1"/>
  <c r="I5" i="1" s="1"/>
  <c r="F5" i="1"/>
  <c r="H12" i="1"/>
  <c r="I12" i="1" s="1"/>
  <c r="F12" i="1"/>
  <c r="H6" i="1"/>
  <c r="I6" i="1" s="1"/>
  <c r="F6" i="1"/>
</calcChain>
</file>

<file path=xl/sharedStrings.xml><?xml version="1.0" encoding="utf-8"?>
<sst xmlns="http://schemas.openxmlformats.org/spreadsheetml/2006/main" count="72" uniqueCount="53">
  <si>
    <t>Surface (m²)</t>
  </si>
  <si>
    <t>kWh/an</t>
  </si>
  <si>
    <t>€/an</t>
  </si>
  <si>
    <t>Retenu</t>
  </si>
  <si>
    <t>Energie</t>
  </si>
  <si>
    <t>Nb pièces</t>
  </si>
  <si>
    <t>Nb Chambres</t>
  </si>
  <si>
    <t>General</t>
  </si>
  <si>
    <t>Lien</t>
  </si>
  <si>
    <t>Prix d'achat (k€)</t>
  </si>
  <si>
    <t xml:space="preserve">Prix du kWh </t>
  </si>
  <si>
    <t>https://www.seloger.com/annonces/achat/appartement/montreuil-93/ruffins-theophile-sueur-montreau-le-morillon/143279557.htm?cp=93&amp;idtt=2,5&amp;idtypebien=1,2&amp;naturebien=1,2,4&amp;nb_chambres=2&amp;pxmax=190000&amp;tri=initial&amp;bd=ListToDetail</t>
  </si>
  <si>
    <t>Oui</t>
  </si>
  <si>
    <t>https://www.seloger.com/annonces/achat/appartement/villiers-sur-marne-94/les-portes-de-villiers/143859447.htm?bedrooms=2,3,4,5&amp;enterprise=0&amp;isochronepoints=%5b%7b%22id%22%3a0,%22point%22%3a%7b%22lat%22%3a48.852765,%22lng%22%3a2.486198,%22mode%22%3a%7b%22type%22%3a%22Transit%22,%22place%22%3a0,%22options%22%3a%7b%22rushHour%22%3atrue%7d%7d%7d,%22timeRange%22%3a%5b1800%5d%7d%5d&amp;natures=1,2,4&amp;price=NaN%2f180000&amp;projects=2,5&amp;qsversion=1.0&amp;rooms=3,4,5&amp;sort=d_surface&amp;types=1,2&amp;bd=ListToDetail</t>
  </si>
  <si>
    <t>-</t>
  </si>
  <si>
    <t>Prix du m² (k€)</t>
  </si>
  <si>
    <t>Non</t>
  </si>
  <si>
    <t>https://www.seloger.com/annonces/achat/appartement/noisy-le-grand-93/pve-neuf-mont-d-est/143347625.htm?types=1,2&amp;projects=2,5&amp;enterprise=0&amp;sort=d_surface&amp;natures=1,2,4&amp;price=NaN/180000&amp;rooms=3,4,5&amp;bedrooms=2,3,4,5&amp;isochronepoints=[{%22id%22:0,%22point%22:{%22lat%22:48.852765,%22lng%22:2.486198,%22mode%22:{%22type%22:%22Transit%22,%22place%22:0,%22options%22:{%22rushHour%22:true}}},%22timeRange%22:[1800]}]&amp;qsVersion=1.0&amp;BD=Carto_Detail_Cartouche&amp;ref=map</t>
  </si>
  <si>
    <t>https://www.seloger.com/annonces/achat/appartement/villiers-sur-marne-94/les-portes-de-villiers/140950445.htm?types=1,2&amp;projects=2,5&amp;enterprise=0&amp;sort=d_surface&amp;natures=1,2,4&amp;price=NaN/180000&amp;rooms=3,4,5&amp;bedrooms=2,3,4,5&amp;isochronepoints=[{%22id%22:0,%22point%22:{%22lat%22:48.852765,%22lng%22:2.486198,%22mode%22:{%22type%22:%22Transit%22,%22place%22:0,%22options%22:{%22rushHour%22:true}}},%22timeRange%22:[1800]}]&amp;qsVersion=1.0&amp;BD=Carto_Detail_Cartouche&amp;ref=map</t>
  </si>
  <si>
    <t>https://www.seloger.com/annonces/achat/appartement/villiers-sur-marne-94/les-boutareines/16247077.htm?types=1,2&amp;projects=2,5&amp;enterprise=0&amp;sort=d_surface&amp;natures=1,2,4&amp;price=NaN/180000&amp;rooms=3,4,5&amp;bedrooms=2,3,4,5&amp;isochronepoints=[{%22id%22:0,%22point%22:{%22lat%22:48.852765,%22lng%22:2.486198,%22mode%22:{%22type%22:%22Transit%22,%22place%22:0,%22options%22:{%22rushHour%22:true}}},%22timeRange%22:[1800]}]&amp;qsVersion=1.0&amp;BD=Carto_Detail_Cartouche&amp;ref=map</t>
  </si>
  <si>
    <t>https://www.seloger.com/annonces/achat/appartement/le-plessis-trevise-94/133139157.htm?types=1%2C2&amp;projects=2%2C5&amp;enterprise=0&amp;sort=d_surface&amp;natures=1%2C2%2C4&amp;price=NaN%2F180000&amp;rooms=3%2C4%2C5&amp;bedrooms=2%2C3%2C4%2C5&amp;isochronepoints=%5B%7B%22id%22%3A0%2C%22point%22%3A%7B%22lat%22%3A48.852765%2C%22lng%22%3A2.486198%2C%22mode%22%3A%7B%22type%22%3A%22Transit%22%2C%22place%22%3A0%2C%22options%22%3A%7B%22rushHour%22%3Atrue%7D%7D%7D%2C%22timeRange%22%3A%5B1800%5D%7D%5D&amp;qsVersion=1.0&amp;BD=Carto_Detail_Cartouche&amp;ref=map</t>
  </si>
  <si>
    <t>Entre Noisy le grand et Villiers sur marne. Un bus proche connecte les deux stations</t>
  </si>
  <si>
    <t>https://www.seloger.com/map.htm?types=1%2C2&amp;projects=2%2C5&amp;enterprise=0&amp;sort=d_surface&amp;natures=1%2C2%2C4&amp;price=NaN%2F180000&amp;rooms=3%2C4%2C5&amp;bedrooms=2%2C3%2C4%2C5&amp;isochronepoints=%5B%7B%22id%22%3A0%2C%22point%22%3A%7B%22lat%22%3A48.852765%2C%22lng%22%3A2.486198%2C%22mode%22%3A%7B%22type%22%3A%22Transit%22%2C%22place%22%3A0%2C%22options%22%3A%7B%22rushHour%22%3Atrue%7D%7D%7D%2C%22timeRange%22%3A%5B1800%5D%7D%5D&amp;qsVersion=1.0&amp;bd=ListToCarto_SL</t>
  </si>
  <si>
    <t>A 30 minutes en transports en commun de VdF:</t>
  </si>
  <si>
    <t>les +</t>
  </si>
  <si>
    <t>les -</t>
  </si>
  <si>
    <t>Sur 3 lignes de bus qui vont sur les lignes 9, A et E</t>
  </si>
  <si>
    <t>Très peu de photos</t>
  </si>
  <si>
    <t>Performance énergétique largement insuffisante</t>
  </si>
  <si>
    <t>Sur aucune ligne ferrée</t>
  </si>
  <si>
    <t>À priori proche de la gare de Villiers sur marne</t>
  </si>
  <si>
    <t>Performance énergétique (kWhEP/m².an)</t>
  </si>
  <si>
    <t>Très bonne performance énergétique</t>
  </si>
  <si>
    <t>à Noisy le grand, pas loin du RER A</t>
  </si>
  <si>
    <t>kWhEP / kWh</t>
  </si>
  <si>
    <t>https://www.seloger.com/annonces/achat/appartement/villiers-sur-marne-94/les-portes-de-villiers/145732803.htm?types=1,2&amp;projects=2,5&amp;enterprise=0&amp;sort=d_surface&amp;natures=1,2,4&amp;price=NaN/180000&amp;rooms=3,4,5&amp;bedrooms=2,3,4,5&amp;isochronepoints=[{%22id%22:0,%22point%22:{%22lat%22:48.852765,%22lng%22:2.486198,%22mode%22:{%22type%22:%22Transit%22,%22place%22:0,%22options%22:{%22rushHour%22:true}}},%22timeRange%22:[1800]}]&amp;qsVersion=1.0&amp;BD=Carto_Detail_Cartouche&amp;ref=map</t>
  </si>
  <si>
    <t>https://www.seloger.com/annonces/achat/appartement/villiers-sur-marne-94/les-perroquets/136913935.htm?types=1,2&amp;projects=2,5&amp;enterprise=0&amp;sort=d_surface&amp;natures=1,2,4&amp;price=NaN/180000&amp;rooms=3,4,5&amp;bedrooms=2,3,4,5&amp;isochronepoints=[{%22id%22:0,%22point%22:{%22lat%22:48.852765,%22lng%22:2.486198,%22mode%22:{%22type%22:%22Transit%22,%22place%22:0,%22options%22:{%22rushHour%22:true}}},%22timeRange%22:[1800]}]&amp;qsVersion=1.0&amp;BD=Carto_Detail_Cartouche&amp;ref=map</t>
  </si>
  <si>
    <t>https://www.seloger.com/annonces/achat/appartement/champigny-sur-marne-94/coeuilly-village-parisien-perroquets/134715765.htm?types=1,2&amp;projects=2,5&amp;enterprise=0&amp;sort=d_surface&amp;natures=1,2,4&amp;price=NaN/180000&amp;rooms=3,4,5&amp;bedrooms=2,3,4,5&amp;isochronepoints=[{%22id%22:0,%22point%22:{%22lat%22:48.852765,%22lng%22:2.486198,%22mode%22:{%22type%22:%22Transit%22,%22place%22:0,%22options%22:{%22rushHour%22:true}}},%22timeRange%22:[1800]}]&amp;qsVersion=1.0&amp;BD=Carto_Detail_Cartouche&amp;ref=map</t>
  </si>
  <si>
    <t>https://www.seloger.com/annonces/achat/appartement/noisy-le-grand-93/pve-neuf-mont-d-est/145133193.htm?types=1,2&amp;projects=2,5&amp;enterprise=0&amp;sort=d_surface&amp;natures=1,2,4&amp;price=NaN/180000&amp;rooms=3,4,5&amp;bedrooms=2,3,4,5&amp;isochronepoints=[{%22id%22:0,%22point%22:{%22lat%22:48.852765,%22lng%22:2.486198,%22mode%22:{%22type%22:%22Transit%22,%22place%22:0,%22options%22:{%22rushHour%22:true}}},%22timeRange%22:[1800]}]&amp;qsVersion=1.0&amp;BD=Carto_Detail_Cartouche&amp;ref=map</t>
  </si>
  <si>
    <t>https://www.seloger.com/annonces/achat/appartement/noisy-le-grand-93/pve-neuf-mont-d-est/144543605.htm?types=1,2&amp;projects=2,5&amp;enterprise=0&amp;sort=d_surface&amp;natures=1,2,4&amp;price=NaN/180000&amp;rooms=3,4,5&amp;bedrooms=2,3,4,5&amp;isochronepoints=[{%22id%22:0,%22point%22:{%22lat%22:48.852765,%22lng%22:2.486198,%22mode%22:{%22type%22:%22Transit%22,%22place%22:0,%22options%22:{%22rushHour%22:true}}},%22timeRange%22:[1800]}]&amp;qsVersion=1.0&amp;BD=Carto_Detail_Cartouche&amp;ref=map</t>
  </si>
  <si>
    <t>https://www.seloger.com/annonces/achat/appartement/noisy-le-grand-93/pve-neuf-mont-d-est/144107765.htm?types=1,2&amp;projects=2,5&amp;enterprise=0&amp;sort=d_surface&amp;natures=1,2,4&amp;price=NaN/180000&amp;rooms=3,4,5&amp;bedrooms=2,3,4,5&amp;isochronepoints=[{%22id%22:0,%22point%22:{%22lat%22:48.852765,%22lng%22:2.486198,%22mode%22:{%22type%22:%22Transit%22,%22place%22:0,%22options%22:{%22rushHour%22:true}}},%22timeRange%22:[1800]}]&amp;qsVersion=1.0&amp;BD=Carto_Detail_Cartouche&amp;ref=map</t>
  </si>
  <si>
    <t>?</t>
  </si>
  <si>
    <t>https://www.seloger.com/annonces/achat/appartement/noisy-le-grand-93/pve-neuf-mont-d-est/145773763.htm?types=1,2&amp;projects=2,5&amp;enterprise=0&amp;sort=d_surface&amp;natures=1,2,4&amp;price=NaN/180000&amp;rooms=3,4,5&amp;bedrooms=2,3,4,5&amp;isochronepoints=[{%22id%22:0,%22point%22:{%22lat%22:48.852765,%22lng%22:2.486198,%22mode%22:{%22type%22:%22Transit%22,%22place%22:0,%22options%22:{%22rushHour%22:true}}},%22timeRange%22:[1800]}]&amp;qsVersion=1.0&amp;BD=Carto_Detail_Cartouche&amp;ref=map</t>
  </si>
  <si>
    <t>https://www.seloger.com/annonces/achat/appartement/noisy-le-grand-93/pve-neuf-mont-d-est/136385097.htm?types=1,2&amp;projects=2,5&amp;enterprise=0&amp;sort=d_surface&amp;natures=1,2,4&amp;price=NaN/180000&amp;rooms=3,4,5&amp;bedrooms=2,3,4,5&amp;isochronepoints=[{%22id%22:0,%22point%22:{%22lat%22:48.852765,%22lng%22:2.486198,%22mode%22:{%22type%22:%22Transit%22,%22place%22:0,%22options%22:{%22rushHour%22:true}}},%22timeRange%22:[1800]}]&amp;qsVersion=1.0&amp;BD=Carto_Detail_Cartouche&amp;ref=map</t>
  </si>
  <si>
    <t>Pas de parking
Peu de photos de l'intérieur</t>
  </si>
  <si>
    <t>Proche RER E</t>
  </si>
  <si>
    <t>Baignore
Proche RER E</t>
  </si>
  <si>
    <t>Performance énergétique non communiquée</t>
  </si>
  <si>
    <t>2 Parkings</t>
  </si>
  <si>
    <t>Proche RER A</t>
  </si>
  <si>
    <t>Performance énergétique assez haute</t>
  </si>
  <si>
    <t>Proche RER A
Parking
Grand séjour
Prix au m² assez bas</t>
  </si>
  <si>
    <t>Performance énergétique assez haute
Pas de parking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</si>
</sst>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2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 applyNumberFormat="0" applyFill="0" applyBorder="0" applyAlignment="0" applyProtection="0"/>
  </cellStyleXfs>
  <cellXfs count="14">
    <xf numFmtId="0" fontId="0" fillId="0" borderId="0" xfId="0"/>
    <xf numFmtId="0" fontId="0" fillId="0" borderId="10" xfId="0" applyBorder="1"/>
    <xf numFmtId="0" fontId="0" fillId="0" borderId="11" xfId="0" applyBorder="1"/>
    <xf numFmtId="0" fontId="16" fillId="0" borderId="15" xfId="0" applyFont="1" applyBorder="1"/>
    <xf numFmtId="0" fontId="16" fillId="0" borderId="16" xfId="0" applyFont="1" applyBorder="1"/>
    <xf numFmtId="0" fontId="16" fillId="0" borderId="17" xfId="0" applyFont="1" applyBorder="1"/>
    <xf numFmtId="0" fontId="0" fillId="0" borderId="18" xfId="0" applyBorder="1"/>
    <xf numFmtId="0" fontId="16" fillId="0" borderId="19" xfId="0" applyFont="1" applyBorder="1"/>
    <xf numFmtId="0" fontId="0" fillId="0" borderId="10" xfId="0" applyFill="1" applyBorder="1"/>
    <xf numFmtId="0" fontId="18" fillId="0" borderId="18" xfId="42" applyBorder="1"/>
    <xf numFmtId="0" fontId="16" fillId="0" borderId="12" xfId="0" applyFont="1" applyBorder="1" applyAlignment="1">
      <alignment horizontal="center"/>
    </xf>
    <xf numFmtId="0" fontId="16" fillId="0" borderId="13" xfId="0" applyFont="1" applyBorder="1" applyAlignment="1">
      <alignment horizontal="center"/>
    </xf>
    <xf numFmtId="0" fontId="16" fillId="0" borderId="14" xfId="0" applyFont="1" applyBorder="1" applyAlignment="1">
      <alignment horizontal="center"/>
    </xf>
    <xf numFmtId="0" fontId="0" fillId="0" borderId="11" xfId="0" applyBorder="1" applyAlignment="1">
      <alignment wrapText="1"/>
    </xf>
  </cellXfs>
  <cellStyles count="43">
    <cellStyle name="20 % - Accent1" xfId="19" builtinId="30" customBuiltin="1"/>
    <cellStyle name="20 % - Accent2" xfId="23" builtinId="34" customBuiltin="1"/>
    <cellStyle name="20 % - Accent3" xfId="27" builtinId="38" customBuiltin="1"/>
    <cellStyle name="20 % - Accent4" xfId="31" builtinId="42" customBuiltin="1"/>
    <cellStyle name="20 % - Accent5" xfId="35" builtinId="46" customBuiltin="1"/>
    <cellStyle name="20 % - Accent6" xfId="39" builtinId="50" customBuiltin="1"/>
    <cellStyle name="40 % - Accent1" xfId="20" builtinId="31" customBuiltin="1"/>
    <cellStyle name="40 % - Accent2" xfId="24" builtinId="35" customBuiltin="1"/>
    <cellStyle name="40 % - Accent3" xfId="28" builtinId="39" customBuiltin="1"/>
    <cellStyle name="40 % - Accent4" xfId="32" builtinId="43" customBuiltin="1"/>
    <cellStyle name="40 % - Accent5" xfId="36" builtinId="47" customBuiltin="1"/>
    <cellStyle name="40 % - Accent6" xfId="40" builtinId="51" customBuiltin="1"/>
    <cellStyle name="60 % - Accent1" xfId="21" builtinId="32" customBuiltin="1"/>
    <cellStyle name="60 % - Accent2" xfId="25" builtinId="36" customBuiltin="1"/>
    <cellStyle name="60 % - Accent3" xfId="29" builtinId="40" customBuiltin="1"/>
    <cellStyle name="60 % - Accent4" xfId="33" builtinId="44" customBuiltin="1"/>
    <cellStyle name="60 % - Accent5" xfId="37" builtinId="48" customBuiltin="1"/>
    <cellStyle name="60 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Avertissement" xfId="14" builtinId="11" customBuiltin="1"/>
    <cellStyle name="Calcul" xfId="11" builtinId="22" customBuiltin="1"/>
    <cellStyle name="Cellule liée" xfId="12" builtinId="24" customBuiltin="1"/>
    <cellStyle name="Entrée" xfId="9" builtinId="20" customBuiltin="1"/>
    <cellStyle name="Insatisfaisant" xfId="7" builtinId="27" customBuiltin="1"/>
    <cellStyle name="Lien hypertexte" xfId="42" builtinId="8"/>
    <cellStyle name="Neutre" xfId="8" builtinId="28" customBuiltin="1"/>
    <cellStyle name="Normal" xfId="0" builtinId="0"/>
    <cellStyle name="Note" xfId="15" builtinId="10" customBuiltin="1"/>
    <cellStyle name="Satisfaisant" xfId="6" builtinId="26" customBuiltin="1"/>
    <cellStyle name="Sortie" xfId="10" builtinId="21" customBuiltin="1"/>
    <cellStyle name="Texte explicatif" xfId="16" builtinId="53" customBuiltin="1"/>
    <cellStyle name="Titre" xfId="1" builtinId="15" customBuiltin="1"/>
    <cellStyle name="Titre 1" xfId="2" builtinId="16" customBuiltin="1"/>
    <cellStyle name="Titre 2" xfId="3" builtinId="17" customBuiltin="1"/>
    <cellStyle name="Titre 3" xfId="4" builtinId="18" customBuiltin="1"/>
    <cellStyle name="Titre 4" xfId="5" builtinId="19" customBuiltin="1"/>
    <cellStyle name="Total" xfId="17" builtinId="25" customBuiltin="1"/>
    <cellStyle name="Vérification" xfId="13" builtinId="23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L19"/>
  <sheetViews>
    <sheetView tabSelected="1" topLeftCell="D1" workbookViewId="0">
      <selection activeCell="J17" sqref="J17"/>
    </sheetView>
  </sheetViews>
  <sheetFormatPr baseColWidth="10" defaultRowHeight="15" x14ac:dyDescent="0.25"/>
  <cols>
    <col min="2" max="2" width="12" bestFit="1" customWidth="1"/>
    <col min="3" max="3" width="15.140625" bestFit="1" customWidth="1"/>
    <col min="4" max="4" width="14.140625" bestFit="1" customWidth="1"/>
    <col min="5" max="5" width="17.42578125" bestFit="1" customWidth="1"/>
    <col min="6" max="6" width="17.42578125" customWidth="1"/>
    <col min="7" max="7" width="41" bestFit="1" customWidth="1"/>
    <col min="8" max="8" width="22" bestFit="1" customWidth="1"/>
    <col min="9" max="9" width="12" bestFit="1" customWidth="1"/>
    <col min="10" max="10" width="9.7109375" bestFit="1" customWidth="1"/>
    <col min="11" max="11" width="45.28515625" bestFit="1" customWidth="1"/>
    <col min="12" max="12" width="76.140625" bestFit="1" customWidth="1"/>
  </cols>
  <sheetData>
    <row r="1" spans="1:12" x14ac:dyDescent="0.25">
      <c r="H1" t="s">
        <v>34</v>
      </c>
      <c r="I1" t="s">
        <v>10</v>
      </c>
    </row>
    <row r="2" spans="1:12" ht="15.75" thickBot="1" x14ac:dyDescent="0.3">
      <c r="H2">
        <v>2.58</v>
      </c>
      <c r="I2">
        <v>0.14499999999999999</v>
      </c>
    </row>
    <row r="3" spans="1:12" ht="15.75" thickBot="1" x14ac:dyDescent="0.3">
      <c r="A3" s="10" t="s">
        <v>7</v>
      </c>
      <c r="B3" s="11"/>
      <c r="C3" s="11"/>
      <c r="D3" s="11"/>
      <c r="E3" s="11"/>
      <c r="F3" s="12"/>
      <c r="G3" s="10" t="s">
        <v>4</v>
      </c>
      <c r="H3" s="11"/>
      <c r="I3" s="12"/>
    </row>
    <row r="4" spans="1:12" ht="15.75" thickBot="1" x14ac:dyDescent="0.3">
      <c r="A4" s="3" t="s">
        <v>8</v>
      </c>
      <c r="B4" s="4" t="s">
        <v>5</v>
      </c>
      <c r="C4" s="4" t="s">
        <v>6</v>
      </c>
      <c r="D4" s="4" t="s">
        <v>0</v>
      </c>
      <c r="E4" s="7" t="s">
        <v>9</v>
      </c>
      <c r="F4" s="7" t="s">
        <v>15</v>
      </c>
      <c r="G4" s="3" t="s">
        <v>31</v>
      </c>
      <c r="H4" s="4" t="s">
        <v>1</v>
      </c>
      <c r="I4" s="4" t="s">
        <v>2</v>
      </c>
      <c r="J4" s="3" t="s">
        <v>3</v>
      </c>
      <c r="K4" s="5" t="s">
        <v>25</v>
      </c>
      <c r="L4" s="5" t="s">
        <v>24</v>
      </c>
    </row>
    <row r="5" spans="1:12" x14ac:dyDescent="0.25">
      <c r="A5" s="9" t="s">
        <v>17</v>
      </c>
      <c r="B5" s="6">
        <v>3</v>
      </c>
      <c r="C5" s="6">
        <v>2</v>
      </c>
      <c r="D5" s="2">
        <v>63</v>
      </c>
      <c r="E5" s="2">
        <v>175</v>
      </c>
      <c r="F5" s="2">
        <f>E5/D5</f>
        <v>2.7777777777777777</v>
      </c>
      <c r="G5" s="2">
        <v>75</v>
      </c>
      <c r="H5" s="2">
        <f>G5/$H$2*D5</f>
        <v>1831.3953488372092</v>
      </c>
      <c r="I5" s="2">
        <f>H5*$I$2</f>
        <v>265.55232558139534</v>
      </c>
      <c r="J5" s="6" t="s">
        <v>12</v>
      </c>
      <c r="K5" s="2" t="s">
        <v>32</v>
      </c>
      <c r="L5" s="2" t="s">
        <v>33</v>
      </c>
    </row>
    <row r="6" spans="1:12" x14ac:dyDescent="0.25">
      <c r="A6" s="9" t="s">
        <v>11</v>
      </c>
      <c r="B6" s="6">
        <v>3</v>
      </c>
      <c r="C6" s="6">
        <v>2</v>
      </c>
      <c r="D6" s="2">
        <v>52</v>
      </c>
      <c r="E6" s="2">
        <v>170</v>
      </c>
      <c r="F6" s="2">
        <f>E6/D6</f>
        <v>3.2692307692307692</v>
      </c>
      <c r="G6" s="2">
        <v>106</v>
      </c>
      <c r="H6" s="2">
        <f>G6/$H$2*D6</f>
        <v>2136.4341085271317</v>
      </c>
      <c r="I6" s="2">
        <f>H6*$I$2</f>
        <v>309.7829457364341</v>
      </c>
      <c r="J6" s="6" t="s">
        <v>12</v>
      </c>
      <c r="K6" s="2" t="s">
        <v>29</v>
      </c>
      <c r="L6" s="2" t="s">
        <v>26</v>
      </c>
    </row>
    <row r="7" spans="1:12" x14ac:dyDescent="0.25">
      <c r="A7" s="9" t="s">
        <v>20</v>
      </c>
      <c r="B7" s="6">
        <v>3</v>
      </c>
      <c r="C7" s="6">
        <v>2</v>
      </c>
      <c r="D7" s="2">
        <v>57</v>
      </c>
      <c r="E7" s="2">
        <v>157</v>
      </c>
      <c r="F7" s="2">
        <f>E7/D7</f>
        <v>2.7543859649122808</v>
      </c>
      <c r="G7" s="2">
        <v>220</v>
      </c>
      <c r="H7" s="2">
        <f>G7/$H$2*D7</f>
        <v>4860.4651162790697</v>
      </c>
      <c r="I7" s="2">
        <f>H7*$I$2</f>
        <v>704.76744186046506</v>
      </c>
      <c r="J7" s="6" t="s">
        <v>12</v>
      </c>
      <c r="K7" s="2" t="s">
        <v>27</v>
      </c>
      <c r="L7" s="2" t="s">
        <v>21</v>
      </c>
    </row>
    <row r="8" spans="1:12" x14ac:dyDescent="0.25">
      <c r="A8" s="9" t="s">
        <v>19</v>
      </c>
      <c r="B8" s="6">
        <v>4</v>
      </c>
      <c r="C8" s="6">
        <v>3</v>
      </c>
      <c r="D8" s="2">
        <v>75.599999999999994</v>
      </c>
      <c r="E8" s="2">
        <v>167.5</v>
      </c>
      <c r="F8" s="2">
        <f>E8/D8</f>
        <v>2.2156084656084656</v>
      </c>
      <c r="G8" s="2">
        <v>180</v>
      </c>
      <c r="H8" s="2">
        <f>G8/$H$2*D8</f>
        <v>5274.4186046511622</v>
      </c>
      <c r="I8" s="2">
        <f>H8*$I$2</f>
        <v>764.79069767441842</v>
      </c>
      <c r="J8" s="6" t="s">
        <v>12</v>
      </c>
      <c r="K8" s="2" t="s">
        <v>27</v>
      </c>
      <c r="L8" s="2" t="s">
        <v>30</v>
      </c>
    </row>
    <row r="9" spans="1:12" ht="30" x14ac:dyDescent="0.25">
      <c r="A9" s="9" t="s">
        <v>37</v>
      </c>
      <c r="B9" s="6">
        <v>3</v>
      </c>
      <c r="C9" s="6">
        <v>2</v>
      </c>
      <c r="D9" s="2">
        <v>69</v>
      </c>
      <c r="E9" s="2">
        <v>163</v>
      </c>
      <c r="F9" s="2">
        <f>E9/D9</f>
        <v>2.36231884057971</v>
      </c>
      <c r="G9" s="2">
        <v>215</v>
      </c>
      <c r="H9" s="2">
        <f>G9/$H$2*D9</f>
        <v>5750</v>
      </c>
      <c r="I9" s="2">
        <f>H9*$I$2</f>
        <v>833.74999999999989</v>
      </c>
      <c r="J9" s="6" t="s">
        <v>12</v>
      </c>
      <c r="K9" s="2"/>
      <c r="L9" s="13" t="s">
        <v>46</v>
      </c>
    </row>
    <row r="10" spans="1:12" x14ac:dyDescent="0.25">
      <c r="A10" s="9" t="s">
        <v>40</v>
      </c>
      <c r="B10" s="6">
        <v>3</v>
      </c>
      <c r="C10" s="6">
        <v>2</v>
      </c>
      <c r="D10" s="2">
        <v>73.209999999999994</v>
      </c>
      <c r="E10" s="2">
        <v>169</v>
      </c>
      <c r="F10" s="2">
        <f>E10/D10</f>
        <v>2.3084278104084142</v>
      </c>
      <c r="G10" s="2" t="s">
        <v>41</v>
      </c>
      <c r="H10" s="2"/>
      <c r="I10" s="2"/>
      <c r="J10" s="6" t="s">
        <v>12</v>
      </c>
      <c r="K10" s="2" t="s">
        <v>47</v>
      </c>
      <c r="L10" s="2" t="s">
        <v>48</v>
      </c>
    </row>
    <row r="11" spans="1:12" ht="60" x14ac:dyDescent="0.25">
      <c r="A11" s="9" t="s">
        <v>42</v>
      </c>
      <c r="B11" s="6">
        <v>3</v>
      </c>
      <c r="C11" s="6">
        <v>2</v>
      </c>
      <c r="D11" s="2">
        <v>80</v>
      </c>
      <c r="E11" s="2">
        <v>139</v>
      </c>
      <c r="F11" s="2">
        <f>E11/D11</f>
        <v>1.7375</v>
      </c>
      <c r="G11" s="2">
        <v>250</v>
      </c>
      <c r="H11" s="2">
        <f>G11/$H$2*D11</f>
        <v>7751.937984496124</v>
      </c>
      <c r="I11" s="2">
        <f>H11*$I$2</f>
        <v>1124.031007751938</v>
      </c>
      <c r="J11" s="6" t="s">
        <v>12</v>
      </c>
      <c r="K11" s="2" t="s">
        <v>50</v>
      </c>
      <c r="L11" s="13" t="s">
        <v>51</v>
      </c>
    </row>
    <row r="12" spans="1:12" hidden="1" x14ac:dyDescent="0.25">
      <c r="A12" s="9" t="s">
        <v>13</v>
      </c>
      <c r="B12" s="6">
        <v>5</v>
      </c>
      <c r="C12" s="6">
        <v>4</v>
      </c>
      <c r="D12" s="2">
        <v>91.25</v>
      </c>
      <c r="E12" s="2">
        <v>169</v>
      </c>
      <c r="F12" s="2">
        <f>E12/D12</f>
        <v>1.8520547945205479</v>
      </c>
      <c r="G12" s="2">
        <v>308</v>
      </c>
      <c r="H12" s="2">
        <f>G12/$H$2*D12</f>
        <v>10893.410852713178</v>
      </c>
      <c r="I12" s="2">
        <f>H12*$I$2</f>
        <v>1579.5445736434106</v>
      </c>
      <c r="J12" s="6" t="s">
        <v>16</v>
      </c>
      <c r="K12" s="2" t="s">
        <v>28</v>
      </c>
      <c r="L12" s="2"/>
    </row>
    <row r="13" spans="1:12" hidden="1" x14ac:dyDescent="0.25">
      <c r="A13" s="9" t="s">
        <v>18</v>
      </c>
      <c r="B13" s="6">
        <v>4</v>
      </c>
      <c r="C13" s="6">
        <v>3</v>
      </c>
      <c r="D13" s="2">
        <v>80</v>
      </c>
      <c r="E13" s="2">
        <v>167.8</v>
      </c>
      <c r="F13" s="2">
        <f>E13/D13</f>
        <v>2.0975000000000001</v>
      </c>
      <c r="G13" s="2">
        <v>302</v>
      </c>
      <c r="H13" s="2">
        <f>G13/$H$2*D13</f>
        <v>9364.3410852713187</v>
      </c>
      <c r="I13" s="2">
        <f>H13*$I$2</f>
        <v>1357.8294573643411</v>
      </c>
      <c r="J13" s="6" t="s">
        <v>16</v>
      </c>
      <c r="K13" s="13" t="s">
        <v>28</v>
      </c>
      <c r="L13" s="13" t="s">
        <v>21</v>
      </c>
    </row>
    <row r="14" spans="1:12" hidden="1" x14ac:dyDescent="0.25">
      <c r="A14" s="9" t="s">
        <v>35</v>
      </c>
      <c r="B14" s="6">
        <v>3</v>
      </c>
      <c r="C14" s="6">
        <v>2</v>
      </c>
      <c r="D14" s="2">
        <v>67</v>
      </c>
      <c r="E14" s="2">
        <v>178</v>
      </c>
      <c r="F14" s="2">
        <f>E14/D14</f>
        <v>2.6567164179104479</v>
      </c>
      <c r="G14" s="2">
        <v>278</v>
      </c>
      <c r="H14" s="2">
        <f>G14/$H$2*D14</f>
        <v>7219.3798449612405</v>
      </c>
      <c r="I14" s="2">
        <f>H14*$I$2</f>
        <v>1046.8100775193798</v>
      </c>
      <c r="J14" s="6" t="s">
        <v>16</v>
      </c>
      <c r="K14" s="2" t="s">
        <v>28</v>
      </c>
      <c r="L14" s="13" t="s">
        <v>21</v>
      </c>
    </row>
    <row r="15" spans="1:12" ht="30" hidden="1" x14ac:dyDescent="0.25">
      <c r="A15" s="9" t="s">
        <v>36</v>
      </c>
      <c r="B15" s="6">
        <v>3</v>
      </c>
      <c r="C15" s="6">
        <v>2</v>
      </c>
      <c r="D15" s="2">
        <v>64.150000000000006</v>
      </c>
      <c r="E15" s="2">
        <v>175</v>
      </c>
      <c r="F15" s="2">
        <f>E15/D15</f>
        <v>2.7279812938425563</v>
      </c>
      <c r="G15" s="2">
        <v>242</v>
      </c>
      <c r="H15" s="2">
        <f>G15/$H$2*D15</f>
        <v>6017.1705426356593</v>
      </c>
      <c r="I15" s="2">
        <f>H15*$I$2</f>
        <v>872.48972868217049</v>
      </c>
      <c r="J15" s="6" t="s">
        <v>16</v>
      </c>
      <c r="K15" s="13" t="s">
        <v>44</v>
      </c>
      <c r="L15" s="2" t="s">
        <v>45</v>
      </c>
    </row>
    <row r="16" spans="1:12" hidden="1" x14ac:dyDescent="0.25">
      <c r="A16" s="9" t="s">
        <v>38</v>
      </c>
      <c r="B16" s="6">
        <v>4</v>
      </c>
      <c r="C16" s="6">
        <v>3</v>
      </c>
      <c r="D16" s="2">
        <v>80</v>
      </c>
      <c r="E16" s="2">
        <v>178</v>
      </c>
      <c r="F16" s="2">
        <f>E16/D16</f>
        <v>2.2250000000000001</v>
      </c>
      <c r="G16" s="2">
        <v>276</v>
      </c>
      <c r="H16" s="2">
        <f>G16/$H$2*D16</f>
        <v>8558.1395348837195</v>
      </c>
      <c r="I16" s="2">
        <f>H16*$I$2</f>
        <v>1240.9302325581393</v>
      </c>
      <c r="J16" s="6" t="s">
        <v>16</v>
      </c>
      <c r="K16" s="2" t="s">
        <v>28</v>
      </c>
      <c r="L16" s="2"/>
    </row>
    <row r="17" spans="1:12" hidden="1" x14ac:dyDescent="0.25">
      <c r="A17" s="9" t="s">
        <v>39</v>
      </c>
      <c r="B17" s="6">
        <v>3</v>
      </c>
      <c r="C17" s="6">
        <v>4</v>
      </c>
      <c r="D17" s="2">
        <v>75</v>
      </c>
      <c r="E17" s="2">
        <v>155</v>
      </c>
      <c r="F17" s="2">
        <f>E17/D17</f>
        <v>2.0666666666666669</v>
      </c>
      <c r="G17" s="2">
        <v>366</v>
      </c>
      <c r="H17" s="2">
        <f>G17/$H$2*D17</f>
        <v>10639.534883720931</v>
      </c>
      <c r="I17" s="2">
        <f>H17*$I$2</f>
        <v>1542.7325581395348</v>
      </c>
      <c r="J17" s="6" t="s">
        <v>16</v>
      </c>
      <c r="K17" s="2" t="s">
        <v>28</v>
      </c>
      <c r="L17" s="2"/>
    </row>
    <row r="18" spans="1:12" ht="30" hidden="1" x14ac:dyDescent="0.25">
      <c r="A18" s="9" t="s">
        <v>43</v>
      </c>
      <c r="B18" s="6">
        <v>3</v>
      </c>
      <c r="C18" s="6">
        <v>2</v>
      </c>
      <c r="D18" s="2">
        <v>70.13</v>
      </c>
      <c r="E18" s="2">
        <v>179</v>
      </c>
      <c r="F18" s="2">
        <f>E18/D18</f>
        <v>2.5524026807357765</v>
      </c>
      <c r="G18" s="2">
        <v>262</v>
      </c>
      <c r="H18" s="2">
        <f>G18/$H$2*D18</f>
        <v>7121.728682170542</v>
      </c>
      <c r="I18" s="2">
        <f>H18*$I$2</f>
        <v>1032.6506589147284</v>
      </c>
      <c r="J18" s="6" t="s">
        <v>16</v>
      </c>
      <c r="K18" s="13" t="s">
        <v>52</v>
      </c>
      <c r="L18" s="2" t="s">
        <v>49</v>
      </c>
    </row>
    <row r="19" spans="1:12" x14ac:dyDescent="0.25">
      <c r="A19" s="1"/>
      <c r="B19" s="8"/>
      <c r="C19" s="8"/>
      <c r="D19" s="8"/>
      <c r="E19" s="8"/>
      <c r="F19" s="2" t="e">
        <f>E19/D19</f>
        <v>#DIV/0!</v>
      </c>
      <c r="G19" s="8" t="s">
        <v>14</v>
      </c>
      <c r="H19" s="2" t="e">
        <f>G19/$H$2*D19</f>
        <v>#VALUE!</v>
      </c>
      <c r="I19" s="2" t="e">
        <f>H19*$I$2</f>
        <v>#VALUE!</v>
      </c>
      <c r="J19" s="8"/>
      <c r="K19" s="2"/>
      <c r="L19" s="2"/>
    </row>
  </sheetData>
  <autoFilter ref="A4:L19" xr:uid="{00000000-0009-0000-0000-000000000000}">
    <filterColumn colId="9">
      <filters blank="1">
        <filter val="Oui"/>
      </filters>
    </filterColumn>
    <sortState ref="A5:L19">
      <sortCondition descending="1" ref="J4:J19"/>
    </sortState>
  </autoFilter>
  <mergeCells count="2">
    <mergeCell ref="G3:I3"/>
    <mergeCell ref="A3:F3"/>
  </mergeCells>
  <conditionalFormatting sqref="I5:I19">
    <cfRule type="colorScale" priority="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5:F19">
    <cfRule type="colorScale" priority="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5B0586-A051-44C7-8A8B-45F45FE768A1}">
  <dimension ref="A1:B1"/>
  <sheetViews>
    <sheetView workbookViewId="0">
      <selection activeCell="B1" sqref="B1"/>
    </sheetView>
  </sheetViews>
  <sheetFormatPr baseColWidth="10" defaultRowHeight="15" x14ac:dyDescent="0.25"/>
  <cols>
    <col min="1" max="1" width="43.140625" bestFit="1" customWidth="1"/>
  </cols>
  <sheetData>
    <row r="1" spans="1:2" x14ac:dyDescent="0.25">
      <c r="A1" t="s">
        <v>23</v>
      </c>
      <c r="B1" t="s">
        <v>22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2</vt:i4>
      </vt:variant>
    </vt:vector>
  </HeadingPairs>
  <TitlesOfParts>
    <vt:vector size="2" baseType="lpstr">
      <vt:lpstr>test</vt:lpstr>
      <vt:lpstr>recherches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BRUNO GIRON</dc:creator>
  <cp:lastModifiedBy>BRUNO GIRON (X181880)</cp:lastModifiedBy>
  <dcterms:created xsi:type="dcterms:W3CDTF">2018-10-22T12:57:47Z</dcterms:created>
  <dcterms:modified xsi:type="dcterms:W3CDTF">2019-04-09T14:30:09Z</dcterms:modified>
</cp:coreProperties>
</file>