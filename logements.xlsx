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Documents\Autre\Kikou Lol\"/>
    </mc:Choice>
  </mc:AlternateContent>
  <bookViews>
    <workbookView xWindow="0" yWindow="0" windowWidth="38400" windowHeight="17610"/>
  </bookViews>
  <sheets>
    <sheet name="test" sheetId="1" r:id="rId1"/>
  </sheets>
  <definedNames>
    <definedName name="_xlnm._FilterDatabase" localSheetId="0" hidden="1">test!$B$4:$M$13</definedName>
  </definedNames>
  <calcPr calcId="0"/>
</workbook>
</file>

<file path=xl/calcChain.xml><?xml version="1.0" encoding="utf-8"?>
<calcChain xmlns="http://schemas.openxmlformats.org/spreadsheetml/2006/main">
  <c r="H13" i="1" l="1"/>
  <c r="I13" i="1" s="1"/>
  <c r="J13" i="1" s="1"/>
  <c r="K13" i="1" s="1"/>
  <c r="H12" i="1"/>
  <c r="I12" i="1" s="1"/>
  <c r="J12" i="1" s="1"/>
  <c r="K12" i="1" s="1"/>
  <c r="H5" i="1"/>
  <c r="I5" i="1" s="1"/>
  <c r="J5" i="1" s="1"/>
  <c r="K5" i="1" s="1"/>
  <c r="H6" i="1"/>
  <c r="I6" i="1" s="1"/>
  <c r="J6" i="1" s="1"/>
  <c r="K6" i="1" s="1"/>
  <c r="H7" i="1"/>
  <c r="I7" i="1" s="1"/>
  <c r="J7" i="1" s="1"/>
  <c r="K7" i="1" s="1"/>
  <c r="H9" i="1"/>
  <c r="I9" i="1" s="1"/>
  <c r="J9" i="1" s="1"/>
  <c r="K9" i="1" s="1"/>
  <c r="H11" i="1"/>
  <c r="I11" i="1" s="1"/>
  <c r="J11" i="1" s="1"/>
  <c r="K11" i="1" s="1"/>
  <c r="H10" i="1"/>
  <c r="I10" i="1" s="1"/>
  <c r="J10" i="1" s="1"/>
  <c r="K10" i="1" s="1"/>
  <c r="H8" i="1"/>
  <c r="I8" i="1" s="1"/>
  <c r="J8" i="1" s="1"/>
  <c r="K8" i="1" s="1"/>
</calcChain>
</file>

<file path=xl/sharedStrings.xml><?xml version="1.0" encoding="utf-8"?>
<sst xmlns="http://schemas.openxmlformats.org/spreadsheetml/2006/main" count="36" uniqueCount="26">
  <si>
    <t>kWh</t>
  </si>
  <si>
    <t>kWhep</t>
  </si>
  <si>
    <t>Performance energétique (kWhEP/m².an)</t>
  </si>
  <si>
    <t>Surface (m²)</t>
  </si>
  <si>
    <t>Prix du kWh (€/kWh)</t>
  </si>
  <si>
    <t>kWh/an</t>
  </si>
  <si>
    <t>€/an</t>
  </si>
  <si>
    <t>€/mois</t>
  </si>
  <si>
    <t>Surface/prix</t>
  </si>
  <si>
    <t>Commentaire</t>
  </si>
  <si>
    <t>trop loin des transports</t>
  </si>
  <si>
    <t>non</t>
  </si>
  <si>
    <t>Retenu</t>
  </si>
  <si>
    <t>demande de gros travaux</t>
  </si>
  <si>
    <t>Energie</t>
  </si>
  <si>
    <t>oui</t>
  </si>
  <si>
    <t>bon emplacement mais couteux sur l'electricité</t>
  </si>
  <si>
    <t>travaux à prévoir</t>
  </si>
  <si>
    <t>Nb pièces</t>
  </si>
  <si>
    <t>Nb Chambres</t>
  </si>
  <si>
    <t>le site dit 4 chambres mais la description dit 3
Petit rapport pièces/surface</t>
  </si>
  <si>
    <t>General</t>
  </si>
  <si>
    <t>Lien</t>
  </si>
  <si>
    <t>?</t>
  </si>
  <si>
    <t>Prix d'achat (k€)</t>
  </si>
  <si>
    <t>très proche des transports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</si>
</sst>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Border="1"/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5" xfId="0" applyFont="1" applyBorder="1"/>
    <xf numFmtId="0" fontId="16" fillId="0" borderId="16" xfId="0" applyFont="1" applyBorder="1"/>
    <xf numFmtId="0" fontId="16" fillId="0" borderId="17" xfId="0" applyFont="1" applyBorder="1"/>
    <xf numFmtId="0" fontId="16" fillId="0" borderId="18" xfId="0" applyFont="1" applyBorder="1"/>
    <xf numFmtId="0" fontId="0" fillId="0" borderId="19" xfId="0" applyBorder="1"/>
    <xf numFmtId="0" fontId="0" fillId="0" borderId="10" xfId="0" applyBorder="1" applyAlignment="1">
      <alignment wrapText="1"/>
    </xf>
    <xf numFmtId="0" fontId="16" fillId="0" borderId="20" xfId="0" applyFont="1" applyBorder="1"/>
    <xf numFmtId="0" fontId="0" fillId="0" borderId="10" xfId="0" applyFill="1" applyBorder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tabSelected="1" workbookViewId="0">
      <selection activeCell="F12" sqref="F12"/>
    </sheetView>
  </sheetViews>
  <sheetFormatPr baseColWidth="10" defaultRowHeight="15" x14ac:dyDescent="0.25"/>
  <cols>
    <col min="2" max="2" width="12" bestFit="1" customWidth="1"/>
    <col min="3" max="3" width="15.140625" bestFit="1" customWidth="1"/>
    <col min="4" max="4" width="14.140625" bestFit="1" customWidth="1"/>
    <col min="5" max="5" width="17.42578125" bestFit="1" customWidth="1"/>
    <col min="6" max="6" width="41" bestFit="1" customWidth="1"/>
    <col min="7" max="7" width="22" bestFit="1" customWidth="1"/>
    <col min="8" max="10" width="12" bestFit="1" customWidth="1"/>
    <col min="11" max="11" width="14.140625" bestFit="1" customWidth="1"/>
    <col min="12" max="12" width="9.7109375" bestFit="1" customWidth="1"/>
    <col min="13" max="13" width="43.7109375" bestFit="1" customWidth="1"/>
  </cols>
  <sheetData>
    <row r="1" spans="1:13" x14ac:dyDescent="0.25">
      <c r="F1" t="s">
        <v>0</v>
      </c>
      <c r="G1" t="s">
        <v>1</v>
      </c>
    </row>
    <row r="2" spans="1:13" ht="15.75" thickBot="1" x14ac:dyDescent="0.3">
      <c r="F2">
        <v>1</v>
      </c>
      <c r="G2">
        <v>2.58</v>
      </c>
    </row>
    <row r="3" spans="1:13" ht="15.75" thickBot="1" x14ac:dyDescent="0.3">
      <c r="A3" s="3" t="s">
        <v>21</v>
      </c>
      <c r="B3" s="4"/>
      <c r="C3" s="4"/>
      <c r="D3" s="4"/>
      <c r="E3" s="5"/>
      <c r="F3" s="3" t="s">
        <v>14</v>
      </c>
      <c r="G3" s="4"/>
      <c r="H3" s="4"/>
      <c r="I3" s="4"/>
      <c r="J3" s="4"/>
      <c r="K3" s="5"/>
    </row>
    <row r="4" spans="1:13" ht="15.75" thickBot="1" x14ac:dyDescent="0.3">
      <c r="A4" s="6" t="s">
        <v>22</v>
      </c>
      <c r="B4" s="7" t="s">
        <v>18</v>
      </c>
      <c r="C4" s="7" t="s">
        <v>19</v>
      </c>
      <c r="D4" s="7" t="s">
        <v>3</v>
      </c>
      <c r="E4" s="12" t="s">
        <v>24</v>
      </c>
      <c r="F4" s="6" t="s">
        <v>2</v>
      </c>
      <c r="G4" s="7" t="s">
        <v>4</v>
      </c>
      <c r="H4" s="7" t="s">
        <v>5</v>
      </c>
      <c r="I4" s="7" t="s">
        <v>6</v>
      </c>
      <c r="J4" s="7" t="s">
        <v>7</v>
      </c>
      <c r="K4" s="9" t="s">
        <v>8</v>
      </c>
      <c r="L4" s="6" t="s">
        <v>12</v>
      </c>
      <c r="M4" s="8" t="s">
        <v>9</v>
      </c>
    </row>
    <row r="5" spans="1:13" x14ac:dyDescent="0.25">
      <c r="A5" s="10"/>
      <c r="B5" s="10">
        <v>5</v>
      </c>
      <c r="C5" s="10">
        <v>4</v>
      </c>
      <c r="D5" s="2">
        <v>102</v>
      </c>
      <c r="E5" s="2"/>
      <c r="F5" s="2">
        <v>95</v>
      </c>
      <c r="G5" s="2">
        <v>0.14499999999999999</v>
      </c>
      <c r="H5" s="2">
        <f>F5/$G$2*D5</f>
        <v>3755.8139534883717</v>
      </c>
      <c r="I5" s="2">
        <f>H5*G5</f>
        <v>544.59302325581382</v>
      </c>
      <c r="J5" s="2">
        <f>I5/12</f>
        <v>45.382751937984487</v>
      </c>
      <c r="K5" s="2">
        <f>D5/J5</f>
        <v>2.2475499092558988</v>
      </c>
      <c r="L5" s="10" t="s">
        <v>11</v>
      </c>
      <c r="M5" s="2" t="s">
        <v>10</v>
      </c>
    </row>
    <row r="6" spans="1:13" x14ac:dyDescent="0.25">
      <c r="A6" s="1"/>
      <c r="B6" s="1">
        <v>5</v>
      </c>
      <c r="C6" s="1">
        <v>4</v>
      </c>
      <c r="D6" s="1">
        <v>100</v>
      </c>
      <c r="E6" s="1"/>
      <c r="F6" s="1">
        <v>240</v>
      </c>
      <c r="G6" s="1">
        <v>0.14499999999999999</v>
      </c>
      <c r="H6" s="1">
        <f>F6/$G$2*D6</f>
        <v>9302.3255813953474</v>
      </c>
      <c r="I6" s="1">
        <f>H6*G6</f>
        <v>1348.8372093023254</v>
      </c>
      <c r="J6" s="1">
        <f>I6/12</f>
        <v>112.40310077519378</v>
      </c>
      <c r="K6" s="1">
        <f>D6/J6</f>
        <v>0.88965517241379322</v>
      </c>
      <c r="L6" s="1" t="s">
        <v>11</v>
      </c>
      <c r="M6" s="1" t="s">
        <v>10</v>
      </c>
    </row>
    <row r="7" spans="1:13" x14ac:dyDescent="0.25">
      <c r="A7" s="1"/>
      <c r="B7" s="1">
        <v>5</v>
      </c>
      <c r="C7" s="1">
        <v>4</v>
      </c>
      <c r="D7" s="1">
        <v>93.29</v>
      </c>
      <c r="E7" s="1"/>
      <c r="F7" s="1">
        <v>190</v>
      </c>
      <c r="G7" s="1">
        <v>0.14499999999999999</v>
      </c>
      <c r="H7" s="1">
        <f>F7/$G$2*D7</f>
        <v>6870.1937984496126</v>
      </c>
      <c r="I7" s="1">
        <f>H7*G7</f>
        <v>996.1781007751938</v>
      </c>
      <c r="J7" s="1">
        <f>I7/12</f>
        <v>83.014841731266145</v>
      </c>
      <c r="K7" s="1">
        <f>D7/J7</f>
        <v>1.1237749546279494</v>
      </c>
      <c r="L7" s="1" t="s">
        <v>11</v>
      </c>
      <c r="M7" s="1" t="s">
        <v>13</v>
      </c>
    </row>
    <row r="8" spans="1:13" x14ac:dyDescent="0.25">
      <c r="A8" s="1"/>
      <c r="B8" s="1">
        <v>5</v>
      </c>
      <c r="C8" s="1">
        <v>4</v>
      </c>
      <c r="D8" s="1">
        <v>90</v>
      </c>
      <c r="E8" s="1"/>
      <c r="F8" s="1">
        <v>295</v>
      </c>
      <c r="G8" s="1">
        <v>0.14499999999999999</v>
      </c>
      <c r="H8" s="1">
        <f>F8/$G$2*D8</f>
        <v>10290.697674418605</v>
      </c>
      <c r="I8" s="1">
        <f>H8*G8</f>
        <v>1492.1511627906975</v>
      </c>
      <c r="J8" s="1">
        <f>I8/12</f>
        <v>124.34593023255813</v>
      </c>
      <c r="K8" s="1">
        <f>D8/J8</f>
        <v>0.72378725891291651</v>
      </c>
      <c r="L8" s="1" t="s">
        <v>15</v>
      </c>
      <c r="M8" s="1" t="s">
        <v>16</v>
      </c>
    </row>
    <row r="9" spans="1:13" x14ac:dyDescent="0.25">
      <c r="A9" s="1"/>
      <c r="B9" s="1">
        <v>5</v>
      </c>
      <c r="C9" s="1">
        <v>4</v>
      </c>
      <c r="D9" s="1">
        <v>83.14</v>
      </c>
      <c r="E9" s="1"/>
      <c r="F9" s="1">
        <v>164</v>
      </c>
      <c r="G9" s="1">
        <v>0.14499999999999999</v>
      </c>
      <c r="H9" s="1">
        <f>F9/$G$2*D9</f>
        <v>5284.8682170542634</v>
      </c>
      <c r="I9" s="1">
        <f>H9*G9</f>
        <v>766.3058914728681</v>
      </c>
      <c r="J9" s="1">
        <f>I9/12</f>
        <v>63.858824289405675</v>
      </c>
      <c r="K9" s="1">
        <f>D9/J9</f>
        <v>1.3019343986543317</v>
      </c>
      <c r="L9" s="1" t="s">
        <v>11</v>
      </c>
      <c r="M9" s="1" t="s">
        <v>17</v>
      </c>
    </row>
    <row r="10" spans="1:13" x14ac:dyDescent="0.25">
      <c r="A10" s="1"/>
      <c r="B10" s="1">
        <v>3</v>
      </c>
      <c r="C10" s="1">
        <v>2</v>
      </c>
      <c r="D10" s="1">
        <v>76</v>
      </c>
      <c r="E10" s="1">
        <v>197</v>
      </c>
      <c r="F10" s="1">
        <v>259</v>
      </c>
      <c r="G10" s="1">
        <v>0.14499999999999999</v>
      </c>
      <c r="H10" s="1">
        <f>F10/$G$2*D10</f>
        <v>7629.4573643410849</v>
      </c>
      <c r="I10" s="1">
        <f>H10*G10</f>
        <v>1106.2713178294573</v>
      </c>
      <c r="J10" s="1">
        <f>I10/12</f>
        <v>92.189276485788113</v>
      </c>
      <c r="K10" s="1">
        <f>D10/J10</f>
        <v>0.82439089335641058</v>
      </c>
      <c r="L10" s="1" t="s">
        <v>15</v>
      </c>
      <c r="M10" s="1" t="s">
        <v>25</v>
      </c>
    </row>
    <row r="11" spans="1:13" ht="30" x14ac:dyDescent="0.25">
      <c r="A11" s="1"/>
      <c r="B11" s="1">
        <v>4</v>
      </c>
      <c r="C11" s="1">
        <v>3</v>
      </c>
      <c r="D11" s="1">
        <v>63</v>
      </c>
      <c r="E11" s="1"/>
      <c r="F11" s="1">
        <v>282</v>
      </c>
      <c r="G11" s="1">
        <v>0.14499999999999999</v>
      </c>
      <c r="H11" s="1">
        <f>F11/$G$2*D11</f>
        <v>6886.0465116279074</v>
      </c>
      <c r="I11" s="1">
        <f>H11*G11</f>
        <v>998.47674418604652</v>
      </c>
      <c r="J11" s="1">
        <f>I11/12</f>
        <v>83.206395348837205</v>
      </c>
      <c r="K11" s="1">
        <f>D11/J11</f>
        <v>0.75715333822450481</v>
      </c>
      <c r="L11" s="1" t="s">
        <v>15</v>
      </c>
      <c r="M11" s="11" t="s">
        <v>20</v>
      </c>
    </row>
    <row r="12" spans="1:13" x14ac:dyDescent="0.25">
      <c r="A12" s="1"/>
      <c r="B12" s="13">
        <v>3</v>
      </c>
      <c r="C12" s="13">
        <v>2</v>
      </c>
      <c r="D12" s="13">
        <v>63</v>
      </c>
      <c r="E12" s="13">
        <v>199</v>
      </c>
      <c r="F12" s="1" t="s">
        <v>23</v>
      </c>
      <c r="G12" s="1">
        <v>0.14499999999999999</v>
      </c>
      <c r="H12" s="1" t="e">
        <f>F12/$G$2*D12</f>
        <v>#VALUE!</v>
      </c>
      <c r="I12" s="1" t="e">
        <f>H12*G12</f>
        <v>#VALUE!</v>
      </c>
      <c r="J12" s="1" t="e">
        <f>I12/12</f>
        <v>#VALUE!</v>
      </c>
      <c r="K12" s="1" t="e">
        <f>D12/J12</f>
        <v>#VALUE!</v>
      </c>
      <c r="L12" s="13" t="s">
        <v>15</v>
      </c>
      <c r="M12" s="13" t="s">
        <v>25</v>
      </c>
    </row>
    <row r="13" spans="1:13" x14ac:dyDescent="0.25">
      <c r="A13" s="1"/>
      <c r="B13" s="13">
        <v>3</v>
      </c>
      <c r="C13" s="13">
        <v>2</v>
      </c>
      <c r="D13" s="13">
        <v>65</v>
      </c>
      <c r="E13" s="13">
        <v>169</v>
      </c>
      <c r="F13" s="13">
        <v>193</v>
      </c>
      <c r="G13" s="1">
        <v>0.14499999999999999</v>
      </c>
      <c r="H13" s="1">
        <f>F13/$G$2*D13</f>
        <v>4862.4031007751937</v>
      </c>
      <c r="I13" s="1">
        <f>H13*G13</f>
        <v>705.04844961240303</v>
      </c>
      <c r="J13" s="1">
        <f>I13/12</f>
        <v>58.75403746770025</v>
      </c>
      <c r="K13" s="1">
        <f>D13/J13</f>
        <v>1.1063069501518672</v>
      </c>
      <c r="L13" s="13" t="s">
        <v>15</v>
      </c>
      <c r="M13" s="13" t="s">
        <v>25</v>
      </c>
    </row>
  </sheetData>
  <autoFilter ref="B4:M13"/>
  <mergeCells count="2">
    <mergeCell ref="F3:K3"/>
    <mergeCell ref="A3:E3"/>
  </mergeCells>
  <conditionalFormatting sqref="K5:K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GIRON</dc:creator>
  <cp:lastModifiedBy>BRUNO GIRON (X181880)</cp:lastModifiedBy>
  <dcterms:created xsi:type="dcterms:W3CDTF">2018-10-22T12:57:47Z</dcterms:created>
  <dcterms:modified xsi:type="dcterms:W3CDTF">2018-10-22T13:20:05Z</dcterms:modified>
</cp:coreProperties>
</file>