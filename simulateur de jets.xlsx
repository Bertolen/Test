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181880\Documents\Kikou Lol\"/>
    </mc:Choice>
  </mc:AlternateContent>
  <xr:revisionPtr revIDLastSave="0" documentId="10_ncr:100000_{27960ACA-EC02-4457-B6A0-756D0110D964}" xr6:coauthVersionLast="31" xr6:coauthVersionMax="31" xr10:uidLastSave="{00000000-0000-0000-0000-000000000000}"/>
  <bookViews>
    <workbookView xWindow="0" yWindow="0" windowWidth="20490" windowHeight="6945" activeTab="2" xr2:uid="{0FBC5128-25C8-4F8B-940D-EA659050A14F}"/>
  </bookViews>
  <sheets>
    <sheet name="un jet" sheetId="1" r:id="rId1"/>
    <sheet name="simplification binomiale" sheetId="2" r:id="rId2"/>
    <sheet name="Multinomiale sans spécialités" sheetId="3" r:id="rId3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3" l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E4" i="3" l="1"/>
  <c r="E5" i="3" s="1"/>
  <c r="E6" i="3" s="1"/>
  <c r="E7" i="3" s="1"/>
  <c r="E8" i="3" s="1"/>
  <c r="E9" i="3" s="1"/>
  <c r="E10" i="3" s="1"/>
  <c r="E11" i="3" s="1"/>
  <c r="C9" i="3"/>
  <c r="C10" i="3"/>
  <c r="C8" i="3"/>
  <c r="C6" i="2"/>
  <c r="F15" i="2" s="1"/>
  <c r="C7" i="2"/>
  <c r="C8" i="2" s="1"/>
  <c r="F18" i="2" l="1"/>
  <c r="F14" i="2"/>
  <c r="F17" i="2"/>
  <c r="F13" i="2"/>
  <c r="F16" i="2"/>
  <c r="F19" i="2"/>
  <c r="H5" i="3"/>
  <c r="L5" i="3"/>
  <c r="P5" i="3"/>
  <c r="T5" i="3"/>
  <c r="H6" i="3"/>
  <c r="L6" i="3"/>
  <c r="P6" i="3"/>
  <c r="T6" i="3"/>
  <c r="H7" i="3"/>
  <c r="L7" i="3"/>
  <c r="P7" i="3"/>
  <c r="T7" i="3"/>
  <c r="H8" i="3"/>
  <c r="L8" i="3"/>
  <c r="P8" i="3"/>
  <c r="T8" i="3"/>
  <c r="H9" i="3"/>
  <c r="L9" i="3"/>
  <c r="P9" i="3"/>
  <c r="T9" i="3"/>
  <c r="H10" i="3"/>
  <c r="L10" i="3"/>
  <c r="P10" i="3"/>
  <c r="T10" i="3"/>
  <c r="H11" i="3"/>
  <c r="L11" i="3"/>
  <c r="P11" i="3"/>
  <c r="T11" i="3"/>
  <c r="Q4" i="3"/>
  <c r="U4" i="3"/>
  <c r="I4" i="3"/>
  <c r="M4" i="3"/>
  <c r="I5" i="3"/>
  <c r="M5" i="3"/>
  <c r="Q5" i="3"/>
  <c r="U5" i="3"/>
  <c r="I6" i="3"/>
  <c r="M6" i="3"/>
  <c r="Q6" i="3"/>
  <c r="U6" i="3"/>
  <c r="I7" i="3"/>
  <c r="M7" i="3"/>
  <c r="Q7" i="3"/>
  <c r="U7" i="3"/>
  <c r="I8" i="3"/>
  <c r="M8" i="3"/>
  <c r="Q8" i="3"/>
  <c r="U8" i="3"/>
  <c r="I9" i="3"/>
  <c r="M9" i="3"/>
  <c r="Q9" i="3"/>
  <c r="U9" i="3"/>
  <c r="I10" i="3"/>
  <c r="M10" i="3"/>
  <c r="Q10" i="3"/>
  <c r="U10" i="3"/>
  <c r="I11" i="3"/>
  <c r="M11" i="3"/>
  <c r="Q11" i="3"/>
  <c r="U11" i="3"/>
  <c r="R4" i="3"/>
  <c r="V4" i="3"/>
  <c r="J4" i="3"/>
  <c r="N4" i="3"/>
  <c r="J5" i="3"/>
  <c r="R5" i="3"/>
  <c r="J6" i="3"/>
  <c r="R6" i="3"/>
  <c r="J7" i="3"/>
  <c r="R7" i="3"/>
  <c r="J8" i="3"/>
  <c r="R8" i="3"/>
  <c r="J9" i="3"/>
  <c r="R9" i="3"/>
  <c r="J10" i="3"/>
  <c r="R10" i="3"/>
  <c r="J11" i="3"/>
  <c r="R11" i="3"/>
  <c r="S4" i="3"/>
  <c r="K4" i="3"/>
  <c r="T4" i="3"/>
  <c r="N5" i="3"/>
  <c r="N6" i="3"/>
  <c r="N7" i="3"/>
  <c r="N8" i="3"/>
  <c r="N9" i="3"/>
  <c r="N10" i="3"/>
  <c r="V10" i="3"/>
  <c r="O5" i="3"/>
  <c r="O6" i="3"/>
  <c r="O7" i="3"/>
  <c r="W7" i="3"/>
  <c r="O9" i="3"/>
  <c r="O10" i="3"/>
  <c r="W10" i="3"/>
  <c r="H4" i="3"/>
  <c r="K5" i="3"/>
  <c r="S5" i="3"/>
  <c r="K6" i="3"/>
  <c r="S6" i="3"/>
  <c r="K7" i="3"/>
  <c r="S7" i="3"/>
  <c r="K8" i="3"/>
  <c r="S8" i="3"/>
  <c r="K9" i="3"/>
  <c r="S9" i="3"/>
  <c r="K10" i="3"/>
  <c r="S10" i="3"/>
  <c r="K11" i="3"/>
  <c r="S11" i="3"/>
  <c r="L4" i="3"/>
  <c r="V5" i="3"/>
  <c r="V6" i="3"/>
  <c r="V7" i="3"/>
  <c r="V8" i="3"/>
  <c r="V9" i="3"/>
  <c r="N11" i="3"/>
  <c r="V11" i="3"/>
  <c r="W4" i="3"/>
  <c r="O4" i="3"/>
  <c r="W5" i="3"/>
  <c r="W6" i="3"/>
  <c r="O8" i="3"/>
  <c r="W8" i="3"/>
  <c r="W9" i="3"/>
  <c r="O11" i="3"/>
  <c r="W11" i="3"/>
  <c r="P4" i="3"/>
  <c r="C11" i="3"/>
  <c r="F6" i="2"/>
  <c r="E12" i="3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F9" i="2"/>
  <c r="F12" i="2"/>
  <c r="F8" i="2"/>
  <c r="F5" i="2"/>
  <c r="F11" i="2"/>
  <c r="F7" i="2"/>
  <c r="F4" i="2"/>
  <c r="F10" i="2"/>
  <c r="C6" i="1"/>
  <c r="C7" i="1"/>
  <c r="C8" i="1"/>
  <c r="C9" i="1"/>
  <c r="C10" i="1"/>
  <c r="C11" i="1"/>
  <c r="C12" i="1"/>
  <c r="C13" i="1"/>
  <c r="C14" i="1"/>
  <c r="C15" i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5" i="1"/>
  <c r="O16" i="3" l="1"/>
  <c r="H24" i="3"/>
  <c r="E25" i="3"/>
  <c r="O24" i="3"/>
  <c r="W19" i="3"/>
  <c r="W21" i="3"/>
  <c r="W17" i="3"/>
  <c r="W13" i="3"/>
  <c r="V22" i="3"/>
  <c r="N19" i="3"/>
  <c r="V14" i="3"/>
  <c r="K24" i="3"/>
  <c r="S21" i="3"/>
  <c r="S19" i="3"/>
  <c r="S17" i="3"/>
  <c r="S15" i="3"/>
  <c r="S13" i="3"/>
  <c r="O23" i="3"/>
  <c r="W18" i="3"/>
  <c r="O15" i="3"/>
  <c r="N24" i="3"/>
  <c r="N20" i="3"/>
  <c r="N16" i="3"/>
  <c r="N12" i="3"/>
  <c r="R24" i="3"/>
  <c r="R22" i="3"/>
  <c r="R20" i="3"/>
  <c r="R18" i="3"/>
  <c r="R16" i="3"/>
  <c r="R14" i="3"/>
  <c r="R12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W24" i="3"/>
  <c r="O21" i="3"/>
  <c r="W16" i="3"/>
  <c r="O13" i="3"/>
  <c r="N22" i="3"/>
  <c r="N18" i="3"/>
  <c r="N14" i="3"/>
  <c r="K23" i="3"/>
  <c r="K21" i="3"/>
  <c r="K19" i="3"/>
  <c r="K17" i="3"/>
  <c r="K15" i="3"/>
  <c r="K13" i="3"/>
  <c r="O22" i="3"/>
  <c r="O18" i="3"/>
  <c r="O14" i="3"/>
  <c r="N23" i="3"/>
  <c r="V18" i="3"/>
  <c r="N15" i="3"/>
  <c r="S23" i="3"/>
  <c r="J24" i="3"/>
  <c r="J22" i="3"/>
  <c r="J20" i="3"/>
  <c r="J18" i="3"/>
  <c r="J16" i="3"/>
  <c r="J14" i="3"/>
  <c r="J12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V20" i="3"/>
  <c r="V16" i="3"/>
  <c r="N13" i="3"/>
  <c r="S22" i="3"/>
  <c r="S20" i="3"/>
  <c r="S18" i="3"/>
  <c r="S16" i="3"/>
  <c r="S14" i="3"/>
  <c r="S12" i="3"/>
  <c r="W20" i="3"/>
  <c r="O17" i="3"/>
  <c r="W12" i="3"/>
  <c r="V21" i="3"/>
  <c r="V17" i="3"/>
  <c r="V13" i="3"/>
  <c r="R23" i="3"/>
  <c r="R21" i="3"/>
  <c r="R19" i="3"/>
  <c r="R17" i="3"/>
  <c r="R15" i="3"/>
  <c r="R13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W22" i="3"/>
  <c r="O19" i="3"/>
  <c r="W14" i="3"/>
  <c r="V23" i="3"/>
  <c r="V19" i="3"/>
  <c r="V15" i="3"/>
  <c r="S24" i="3"/>
  <c r="K22" i="3"/>
  <c r="K20" i="3"/>
  <c r="K18" i="3"/>
  <c r="K16" i="3"/>
  <c r="K14" i="3"/>
  <c r="K12" i="3"/>
  <c r="W23" i="3"/>
  <c r="O20" i="3"/>
  <c r="W15" i="3"/>
  <c r="O12" i="3"/>
  <c r="V24" i="3"/>
  <c r="N21" i="3"/>
  <c r="N17" i="3"/>
  <c r="V12" i="3"/>
  <c r="J23" i="3"/>
  <c r="J21" i="3"/>
  <c r="J19" i="3"/>
  <c r="J17" i="3"/>
  <c r="J15" i="3"/>
  <c r="J13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H23" i="3"/>
  <c r="F23" i="3" s="1"/>
  <c r="H22" i="3"/>
  <c r="H21" i="3"/>
  <c r="H20" i="3"/>
  <c r="H19" i="3"/>
  <c r="H18" i="3"/>
  <c r="H17" i="3"/>
  <c r="H16" i="3"/>
  <c r="H15" i="3"/>
  <c r="H14" i="3"/>
  <c r="H13" i="3"/>
  <c r="H12" i="3"/>
  <c r="F5" i="3"/>
  <c r="F11" i="3"/>
  <c r="F7" i="3"/>
  <c r="F10" i="3"/>
  <c r="F4" i="3"/>
  <c r="F9" i="3"/>
  <c r="F18" i="3"/>
  <c r="F8" i="3"/>
  <c r="F6" i="3"/>
  <c r="F21" i="2"/>
  <c r="F2" i="1"/>
  <c r="F20" i="3" l="1"/>
  <c r="F22" i="3"/>
  <c r="F15" i="3"/>
  <c r="F19" i="3"/>
  <c r="F24" i="3"/>
  <c r="F21" i="3"/>
  <c r="F16" i="3"/>
  <c r="F12" i="3"/>
  <c r="F13" i="3"/>
  <c r="F17" i="3"/>
  <c r="F14" i="3"/>
  <c r="J25" i="3"/>
  <c r="K25" i="3"/>
  <c r="O25" i="3"/>
  <c r="S25" i="3"/>
  <c r="W25" i="3"/>
  <c r="H25" i="3"/>
  <c r="P25" i="3"/>
  <c r="T25" i="3"/>
  <c r="E26" i="3"/>
  <c r="L25" i="3"/>
  <c r="I25" i="3"/>
  <c r="M25" i="3"/>
  <c r="Q25" i="3"/>
  <c r="U25" i="3"/>
  <c r="N25" i="3"/>
  <c r="R25" i="3"/>
  <c r="V25" i="3"/>
  <c r="H26" i="3" l="1"/>
  <c r="N26" i="3"/>
  <c r="V26" i="3"/>
  <c r="K26" i="3"/>
  <c r="O26" i="3"/>
  <c r="S26" i="3"/>
  <c r="W26" i="3"/>
  <c r="L26" i="3"/>
  <c r="P26" i="3"/>
  <c r="E27" i="3"/>
  <c r="T26" i="3"/>
  <c r="I26" i="3"/>
  <c r="M26" i="3"/>
  <c r="Q26" i="3"/>
  <c r="U26" i="3"/>
  <c r="J26" i="3"/>
  <c r="R26" i="3"/>
  <c r="F25" i="3"/>
  <c r="M27" i="3" l="1"/>
  <c r="U27" i="3"/>
  <c r="J27" i="3"/>
  <c r="N27" i="3"/>
  <c r="R27" i="3"/>
  <c r="V27" i="3"/>
  <c r="K27" i="3"/>
  <c r="S27" i="3"/>
  <c r="W27" i="3"/>
  <c r="O27" i="3"/>
  <c r="H27" i="3"/>
  <c r="L27" i="3"/>
  <c r="P27" i="3"/>
  <c r="T27" i="3"/>
  <c r="E28" i="3"/>
  <c r="I27" i="3"/>
  <c r="Q27" i="3"/>
  <c r="F26" i="3"/>
  <c r="F27" i="3" l="1"/>
  <c r="H28" i="3"/>
  <c r="J28" i="3"/>
  <c r="O28" i="3"/>
  <c r="U28" i="3"/>
  <c r="Q28" i="3"/>
  <c r="N28" i="3"/>
  <c r="K28" i="3"/>
  <c r="V28" i="3"/>
  <c r="M28" i="3"/>
  <c r="R28" i="3"/>
  <c r="W28" i="3"/>
  <c r="I28" i="3"/>
  <c r="S28" i="3"/>
  <c r="T28" i="3"/>
  <c r="P28" i="3"/>
  <c r="L28" i="3"/>
  <c r="E29" i="3"/>
  <c r="E30" i="3" s="1"/>
  <c r="K30" i="3" l="1"/>
  <c r="V30" i="3"/>
  <c r="Q30" i="3"/>
  <c r="P30" i="3"/>
  <c r="M30" i="3"/>
  <c r="R30" i="3"/>
  <c r="I30" i="3"/>
  <c r="L30" i="3"/>
  <c r="W30" i="3"/>
  <c r="N30" i="3"/>
  <c r="E31" i="3"/>
  <c r="H30" i="3"/>
  <c r="S30" i="3"/>
  <c r="J30" i="3"/>
  <c r="T30" i="3"/>
  <c r="U30" i="3"/>
  <c r="O30" i="3"/>
  <c r="F28" i="3"/>
  <c r="J29" i="3"/>
  <c r="K29" i="3"/>
  <c r="S29" i="3"/>
  <c r="T29" i="3"/>
  <c r="N29" i="3"/>
  <c r="O29" i="3"/>
  <c r="H29" i="3"/>
  <c r="I29" i="3"/>
  <c r="R29" i="3"/>
  <c r="W29" i="3"/>
  <c r="L29" i="3"/>
  <c r="Q29" i="3"/>
  <c r="V29" i="3"/>
  <c r="M29" i="3"/>
  <c r="P29" i="3"/>
  <c r="U29" i="3"/>
  <c r="F30" i="3" l="1"/>
  <c r="M31" i="3"/>
  <c r="O31" i="3"/>
  <c r="N31" i="3"/>
  <c r="H31" i="3"/>
  <c r="E32" i="3"/>
  <c r="Q31" i="3"/>
  <c r="W31" i="3"/>
  <c r="R31" i="3"/>
  <c r="L31" i="3"/>
  <c r="U31" i="3"/>
  <c r="T31" i="3"/>
  <c r="V31" i="3"/>
  <c r="P31" i="3"/>
  <c r="I31" i="3"/>
  <c r="K31" i="3"/>
  <c r="J31" i="3"/>
  <c r="S31" i="3"/>
  <c r="F29" i="3"/>
  <c r="S32" i="3" l="1"/>
  <c r="N32" i="3"/>
  <c r="P32" i="3"/>
  <c r="Q32" i="3"/>
  <c r="W32" i="3"/>
  <c r="V32" i="3"/>
  <c r="T32" i="3"/>
  <c r="J32" i="3"/>
  <c r="U32" i="3"/>
  <c r="L32" i="3"/>
  <c r="K32" i="3"/>
  <c r="M32" i="3"/>
  <c r="H32" i="3"/>
  <c r="E33" i="3"/>
  <c r="R32" i="3"/>
  <c r="O32" i="3"/>
  <c r="I32" i="3"/>
  <c r="F31" i="3"/>
  <c r="Q33" i="3" l="1"/>
  <c r="P33" i="3"/>
  <c r="R33" i="3"/>
  <c r="W33" i="3"/>
  <c r="M33" i="3"/>
  <c r="N33" i="3"/>
  <c r="U33" i="3"/>
  <c r="E34" i="3"/>
  <c r="V33" i="3"/>
  <c r="H33" i="3"/>
  <c r="L33" i="3"/>
  <c r="S33" i="3"/>
  <c r="I33" i="3"/>
  <c r="O33" i="3"/>
  <c r="J33" i="3"/>
  <c r="K33" i="3"/>
  <c r="T33" i="3"/>
  <c r="F32" i="3"/>
  <c r="W34" i="3" l="1"/>
  <c r="V34" i="3"/>
  <c r="T34" i="3"/>
  <c r="R34" i="3"/>
  <c r="K34" i="3"/>
  <c r="I34" i="3"/>
  <c r="H34" i="3"/>
  <c r="M34" i="3"/>
  <c r="O34" i="3"/>
  <c r="Q34" i="3"/>
  <c r="L34" i="3"/>
  <c r="U34" i="3"/>
  <c r="S34" i="3"/>
  <c r="N34" i="3"/>
  <c r="P34" i="3"/>
  <c r="J34" i="3"/>
  <c r="F33" i="3"/>
  <c r="F34" i="3" l="1"/>
  <c r="F36" i="3" s="1"/>
</calcChain>
</file>

<file path=xl/sharedStrings.xml><?xml version="1.0" encoding="utf-8"?>
<sst xmlns="http://schemas.openxmlformats.org/spreadsheetml/2006/main" count="26" uniqueCount="15">
  <si>
    <t>Nombre de dés</t>
  </si>
  <si>
    <t>Spécialité?</t>
  </si>
  <si>
    <t>Dé</t>
  </si>
  <si>
    <t>Valeur</t>
  </si>
  <si>
    <t>Difficulté</t>
  </si>
  <si>
    <t>Résultat</t>
  </si>
  <si>
    <t>%</t>
  </si>
  <si>
    <t>Ici on simplifie les jets en ignorant les effets des 1 et des 10</t>
  </si>
  <si>
    <t>Chances de réussite</t>
  </si>
  <si>
    <t>Chances d'échec</t>
  </si>
  <si>
    <t>Total</t>
  </si>
  <si>
    <t>Ici on considère un jet sans spécialité (10 sans effet)</t>
  </si>
  <si>
    <t>Chances d'échec critique</t>
  </si>
  <si>
    <t>Nombre d'échecs critiques</t>
  </si>
  <si>
    <t xml:space="preserve">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</si>
</sst>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 applyFill="1"/>
    <xf numFmtId="0" fontId="1" fillId="0" borderId="0" xfId="0" applyFont="1" applyFill="1" applyAlignment="1"/>
    <xf numFmtId="0" fontId="2" fillId="0" borderId="1" xfId="0" applyFont="1" applyBorder="1"/>
    <xf numFmtId="0" fontId="0" fillId="0" borderId="1" xfId="0" applyBorder="1"/>
    <xf numFmtId="0" fontId="0" fillId="0" borderId="1" xfId="0" applyFont="1" applyBorder="1"/>
    <xf numFmtId="0" fontId="0" fillId="0" borderId="2" xfId="0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Chances de n réussites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'simplification binomiale'!$F$3</c:f>
              <c:strCache>
                <c:ptCount val="1"/>
                <c:pt idx="0">
                  <c:v>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'simplification binomiale'!$E$4:$E$19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'simplification binomiale'!$F$4:$F$19</c:f>
              <c:numCache>
                <c:formatCode>General</c:formatCode>
                <c:ptCount val="16"/>
                <c:pt idx="0">
                  <c:v>3.90625E-3</c:v>
                </c:pt>
                <c:pt idx="1">
                  <c:v>3.125E-2</c:v>
                </c:pt>
                <c:pt idx="2">
                  <c:v>0.109375</c:v>
                </c:pt>
                <c:pt idx="3">
                  <c:v>0.21875</c:v>
                </c:pt>
                <c:pt idx="4">
                  <c:v>0.2734375</c:v>
                </c:pt>
                <c:pt idx="5">
                  <c:v>0.21875</c:v>
                </c:pt>
                <c:pt idx="6">
                  <c:v>0.109375</c:v>
                </c:pt>
                <c:pt idx="7">
                  <c:v>3.125E-2</c:v>
                </c:pt>
                <c:pt idx="8">
                  <c:v>3.90625E-3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36-4353-AA86-9AEDA8D4D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963800"/>
        <c:axId val="590955928"/>
      </c:scatterChart>
      <c:valAx>
        <c:axId val="590963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0955928"/>
        <c:crosses val="autoZero"/>
        <c:crossBetween val="midCat"/>
      </c:valAx>
      <c:valAx>
        <c:axId val="590955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0963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Chances de n réussites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'Multinomiale sans spécialités'!$F$3</c:f>
              <c:strCache>
                <c:ptCount val="1"/>
                <c:pt idx="0">
                  <c:v>%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'Multinomiale sans spécialités'!$E$4:$E$34</c:f>
              <c:numCache>
                <c:formatCode>General</c:formatCode>
                <c:ptCount val="31"/>
                <c:pt idx="0">
                  <c:v>-8</c:v>
                </c:pt>
                <c:pt idx="1">
                  <c:v>-7</c:v>
                </c:pt>
                <c:pt idx="2">
                  <c:v>-6</c:v>
                </c:pt>
                <c:pt idx="3">
                  <c:v>-5</c:v>
                </c:pt>
                <c:pt idx="4">
                  <c:v>-4</c:v>
                </c:pt>
                <c:pt idx="5">
                  <c:v>-3</c:v>
                </c:pt>
                <c:pt idx="6">
                  <c:v>-2</c:v>
                </c:pt>
                <c:pt idx="7">
                  <c:v>-1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</c:numCache>
            </c:numRef>
          </c:xVal>
          <c:yVal>
            <c:numRef>
              <c:f>'Multinomiale sans spécialités'!$F$4:$F$34</c:f>
              <c:numCache>
                <c:formatCode>General</c:formatCode>
                <c:ptCount val="31"/>
                <c:pt idx="0">
                  <c:v>1.0000000000000008E-8</c:v>
                </c:pt>
                <c:pt idx="1">
                  <c:v>3.2000000000000027E-7</c:v>
                </c:pt>
                <c:pt idx="2">
                  <c:v>4.8800000000000041E-6</c:v>
                </c:pt>
                <c:pt idx="3">
                  <c:v>4.7040000000000044E-5</c:v>
                </c:pt>
                <c:pt idx="4">
                  <c:v>3.2060000000000026E-4</c:v>
                </c:pt>
                <c:pt idx="5">
                  <c:v>1.6374400000000013E-3</c:v>
                </c:pt>
                <c:pt idx="6">
                  <c:v>6.480880000000004E-3</c:v>
                </c:pt>
                <c:pt idx="7">
                  <c:v>2.0272320000000014E-2</c:v>
                </c:pt>
                <c:pt idx="8">
                  <c:v>5.0641660000000026E-2</c:v>
                </c:pt>
                <c:pt idx="9">
                  <c:v>0.10136160000000005</c:v>
                </c:pt>
                <c:pt idx="10">
                  <c:v>0.16202200000000008</c:v>
                </c:pt>
                <c:pt idx="11">
                  <c:v>0.20468000000000008</c:v>
                </c:pt>
                <c:pt idx="12">
                  <c:v>0.20037500000000005</c:v>
                </c:pt>
                <c:pt idx="13">
                  <c:v>0.14700000000000002</c:v>
                </c:pt>
                <c:pt idx="14">
                  <c:v>7.6250000000000012E-2</c:v>
                </c:pt>
                <c:pt idx="15">
                  <c:v>2.5000000000000001E-2</c:v>
                </c:pt>
                <c:pt idx="16">
                  <c:v>3.90625E-3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BA-47AC-AD1A-64FF552B3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896920"/>
        <c:axId val="716897904"/>
      </c:scatterChart>
      <c:valAx>
        <c:axId val="716896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6897904"/>
        <c:crosses val="autoZero"/>
        <c:crossBetween val="midCat"/>
      </c:valAx>
      <c:valAx>
        <c:axId val="71689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6896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752475</xdr:colOff>
      <xdr:row>1</xdr:row>
      <xdr:rowOff>185737</xdr:rowOff>
    </xdr:from>
    <xdr:to>
      <xdr:col>26</xdr:col>
      <xdr:colOff>9525</xdr:colOff>
      <xdr:row>43</xdr:row>
      <xdr:rowOff>9525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E418342-BC62-48BD-8913-88A5B5C2B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57150</xdr:colOff>
      <xdr:row>2</xdr:row>
      <xdr:rowOff>23811</xdr:rowOff>
    </xdr:from>
    <xdr:to>
      <xdr:col>40</xdr:col>
      <xdr:colOff>247650</xdr:colOff>
      <xdr:row>43</xdr:row>
      <xdr:rowOff>9525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CC988FB-682D-49FC-9118-8A892C896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D9968-C0EF-4340-B108-DF9BA7A8DE42}">
  <dimension ref="B1:F24"/>
  <sheetViews>
    <sheetView workbookViewId="0">
      <selection activeCell="D19" sqref="D19"/>
    </sheetView>
  </sheetViews>
  <sheetFormatPr baseColWidth="10" defaultRowHeight="15" x14ac:dyDescent="0.25"/>
  <cols>
    <col min="2" max="2" width="14.5703125" bestFit="1" customWidth="1"/>
  </cols>
  <sheetData>
    <row r="1" spans="2:6" x14ac:dyDescent="0.25">
      <c r="B1" s="1" t="s">
        <v>0</v>
      </c>
      <c r="C1">
        <v>8</v>
      </c>
      <c r="E1" s="1" t="s">
        <v>1</v>
      </c>
      <c r="F1" t="b">
        <v>1</v>
      </c>
    </row>
    <row r="2" spans="2:6" x14ac:dyDescent="0.25">
      <c r="B2" s="1" t="s">
        <v>4</v>
      </c>
      <c r="C2">
        <v>6</v>
      </c>
      <c r="E2" s="1" t="s">
        <v>5</v>
      </c>
      <c r="F2">
        <f ca="1">COUNTIF(C5:C24,"&gt;="&amp;C2)+IF(F1,COUNTIF(C5:C24,"=10"),0)</f>
        <v>4</v>
      </c>
    </row>
    <row r="4" spans="2:6" x14ac:dyDescent="0.25">
      <c r="B4" s="1" t="s">
        <v>2</v>
      </c>
      <c r="C4" s="1" t="s">
        <v>3</v>
      </c>
      <c r="D4" s="1"/>
    </row>
    <row r="5" spans="2:6" x14ac:dyDescent="0.25">
      <c r="B5" s="1">
        <v>1</v>
      </c>
      <c r="C5">
        <f ca="1">IF(B5&gt;$C$1,"",ROUNDDOWN(RAND()*10+1,0))</f>
        <v>9</v>
      </c>
    </row>
    <row r="6" spans="2:6" x14ac:dyDescent="0.25">
      <c r="B6" s="1">
        <v>2</v>
      </c>
      <c r="C6">
        <f t="shared" ref="C6:C24" ca="1" si="0">IF(B6&gt;$C$1,"",ROUNDDOWN(RAND()*10+1,0))</f>
        <v>1</v>
      </c>
    </row>
    <row r="7" spans="2:6" x14ac:dyDescent="0.25">
      <c r="B7" s="1">
        <v>3</v>
      </c>
      <c r="C7">
        <f t="shared" ca="1" si="0"/>
        <v>8</v>
      </c>
    </row>
    <row r="8" spans="2:6" x14ac:dyDescent="0.25">
      <c r="B8" s="1">
        <v>4</v>
      </c>
      <c r="C8">
        <f t="shared" ca="1" si="0"/>
        <v>2</v>
      </c>
    </row>
    <row r="9" spans="2:6" x14ac:dyDescent="0.25">
      <c r="B9" s="1">
        <v>5</v>
      </c>
      <c r="C9">
        <f t="shared" ca="1" si="0"/>
        <v>1</v>
      </c>
    </row>
    <row r="10" spans="2:6" x14ac:dyDescent="0.25">
      <c r="B10" s="1">
        <v>6</v>
      </c>
      <c r="C10">
        <f t="shared" ca="1" si="0"/>
        <v>5</v>
      </c>
    </row>
    <row r="11" spans="2:6" x14ac:dyDescent="0.25">
      <c r="B11" s="1">
        <v>7</v>
      </c>
      <c r="C11">
        <f t="shared" ca="1" si="0"/>
        <v>10</v>
      </c>
    </row>
    <row r="12" spans="2:6" x14ac:dyDescent="0.25">
      <c r="B12" s="1">
        <v>8</v>
      </c>
      <c r="C12">
        <f t="shared" ca="1" si="0"/>
        <v>3</v>
      </c>
    </row>
    <row r="13" spans="2:6" x14ac:dyDescent="0.25">
      <c r="B13" s="1">
        <v>9</v>
      </c>
      <c r="C13" t="str">
        <f t="shared" ca="1" si="0"/>
        <v/>
      </c>
    </row>
    <row r="14" spans="2:6" x14ac:dyDescent="0.25">
      <c r="B14" s="1">
        <v>10</v>
      </c>
      <c r="C14" t="str">
        <f t="shared" ca="1" si="0"/>
        <v/>
      </c>
    </row>
    <row r="15" spans="2:6" x14ac:dyDescent="0.25">
      <c r="B15" s="1">
        <v>11</v>
      </c>
      <c r="C15" t="str">
        <f t="shared" ca="1" si="0"/>
        <v/>
      </c>
    </row>
    <row r="16" spans="2:6" x14ac:dyDescent="0.25">
      <c r="B16" s="1">
        <v>12</v>
      </c>
      <c r="C16" t="str">
        <f t="shared" ca="1" si="0"/>
        <v/>
      </c>
      <c r="D16" t="str">
        <f t="shared" ref="D6:D24" ca="1" si="1">IF(AND($F$1,C16=10),ROUNDDOWN(RAND()*10+1,0),"")</f>
        <v/>
      </c>
    </row>
    <row r="17" spans="2:4" x14ac:dyDescent="0.25">
      <c r="B17" s="1">
        <v>13</v>
      </c>
      <c r="C17" t="str">
        <f t="shared" ca="1" si="0"/>
        <v/>
      </c>
      <c r="D17" t="str">
        <f t="shared" ca="1" si="1"/>
        <v/>
      </c>
    </row>
    <row r="18" spans="2:4" x14ac:dyDescent="0.25">
      <c r="B18" s="1">
        <v>14</v>
      </c>
      <c r="C18" t="str">
        <f t="shared" ca="1" si="0"/>
        <v/>
      </c>
      <c r="D18" t="str">
        <f t="shared" ca="1" si="1"/>
        <v/>
      </c>
    </row>
    <row r="19" spans="2:4" x14ac:dyDescent="0.25">
      <c r="B19" s="1">
        <v>15</v>
      </c>
      <c r="C19" t="str">
        <f t="shared" ca="1" si="0"/>
        <v/>
      </c>
      <c r="D19" t="str">
        <f t="shared" ca="1" si="1"/>
        <v/>
      </c>
    </row>
    <row r="20" spans="2:4" x14ac:dyDescent="0.25">
      <c r="B20" s="1">
        <v>16</v>
      </c>
      <c r="C20" t="str">
        <f t="shared" ca="1" si="0"/>
        <v/>
      </c>
      <c r="D20" t="str">
        <f t="shared" ca="1" si="1"/>
        <v/>
      </c>
    </row>
    <row r="21" spans="2:4" x14ac:dyDescent="0.25">
      <c r="B21" s="1">
        <v>17</v>
      </c>
      <c r="C21" t="str">
        <f t="shared" ca="1" si="0"/>
        <v/>
      </c>
      <c r="D21" t="str">
        <f t="shared" ca="1" si="1"/>
        <v/>
      </c>
    </row>
    <row r="22" spans="2:4" x14ac:dyDescent="0.25">
      <c r="B22" s="1">
        <v>18</v>
      </c>
      <c r="C22" t="str">
        <f t="shared" ca="1" si="0"/>
        <v/>
      </c>
      <c r="D22" t="str">
        <f t="shared" ca="1" si="1"/>
        <v/>
      </c>
    </row>
    <row r="23" spans="2:4" x14ac:dyDescent="0.25">
      <c r="B23" s="1">
        <v>19</v>
      </c>
      <c r="C23" t="str">
        <f t="shared" ca="1" si="0"/>
        <v/>
      </c>
      <c r="D23" t="str">
        <f t="shared" ca="1" si="1"/>
        <v/>
      </c>
    </row>
    <row r="24" spans="2:4" x14ac:dyDescent="0.25">
      <c r="B24" s="1">
        <v>20</v>
      </c>
      <c r="C24" t="str">
        <f t="shared" ca="1" si="0"/>
        <v/>
      </c>
      <c r="D24" t="str">
        <f t="shared" ca="1" si="1"/>
        <v/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300A-850A-4D4D-934A-89D9C57AB77B}">
  <dimension ref="B1:F21"/>
  <sheetViews>
    <sheetView workbookViewId="0">
      <selection activeCell="N50" sqref="N50"/>
    </sheetView>
  </sheetViews>
  <sheetFormatPr baseColWidth="10" defaultRowHeight="15" x14ac:dyDescent="0.25"/>
  <cols>
    <col min="2" max="2" width="14.5703125" bestFit="1" customWidth="1"/>
    <col min="3" max="3" width="11" bestFit="1" customWidth="1"/>
    <col min="5" max="5" width="18.7109375" bestFit="1" customWidth="1"/>
    <col min="6" max="6" width="4" bestFit="1" customWidth="1"/>
  </cols>
  <sheetData>
    <row r="1" spans="2:6" x14ac:dyDescent="0.25">
      <c r="B1" s="2" t="s">
        <v>7</v>
      </c>
    </row>
    <row r="3" spans="2:6" x14ac:dyDescent="0.25">
      <c r="B3" s="4" t="s">
        <v>0</v>
      </c>
      <c r="C3" s="5">
        <v>8</v>
      </c>
      <c r="E3" s="4" t="s">
        <v>5</v>
      </c>
      <c r="F3" s="4" t="s">
        <v>6</v>
      </c>
    </row>
    <row r="4" spans="2:6" x14ac:dyDescent="0.25">
      <c r="B4" s="4" t="s">
        <v>4</v>
      </c>
      <c r="C4" s="5">
        <v>6</v>
      </c>
      <c r="E4" s="4">
        <v>0</v>
      </c>
      <c r="F4" s="5">
        <f>IF(E4&lt;=$C$3,$C$6^E4*$C$7^($C$3-E4)*FACT($C$3)/(FACT(E4)*FACT($C$3-E4)),0)</f>
        <v>3.90625E-3</v>
      </c>
    </row>
    <row r="5" spans="2:6" x14ac:dyDescent="0.25">
      <c r="E5" s="4">
        <v>1</v>
      </c>
      <c r="F5" s="5">
        <f>IF(E5&lt;=$C$3,$C$6^E5*$C$7^($C$3-E5)*FACT($C$3)/(FACT(E5)*FACT($C$3-E5)),0)</f>
        <v>3.125E-2</v>
      </c>
    </row>
    <row r="6" spans="2:6" x14ac:dyDescent="0.25">
      <c r="B6" s="4" t="s">
        <v>8</v>
      </c>
      <c r="C6" s="5">
        <f>(11-C4)/10</f>
        <v>0.5</v>
      </c>
      <c r="D6" s="1"/>
      <c r="E6" s="4">
        <v>2</v>
      </c>
      <c r="F6" s="5">
        <f>IF(E6&lt;=$C$3,$C$6^E6*$C$7^($C$3-E6)*FACT($C$3)/(FACT(E6)*FACT($C$3-E6)),0)</f>
        <v>0.109375</v>
      </c>
    </row>
    <row r="7" spans="2:6" x14ac:dyDescent="0.25">
      <c r="B7" s="4" t="s">
        <v>9</v>
      </c>
      <c r="C7" s="5">
        <f>(C4-1)/10</f>
        <v>0.5</v>
      </c>
      <c r="D7" s="1"/>
      <c r="E7" s="4">
        <v>3</v>
      </c>
      <c r="F7" s="5">
        <f>IF(E7&lt;=$C$3,$C$6^E7*$C$7^($C$3-E7)*FACT($C$3)/(FACT(E7)*FACT($C$3-E7)),0)</f>
        <v>0.21875</v>
      </c>
    </row>
    <row r="8" spans="2:6" x14ac:dyDescent="0.25">
      <c r="B8" s="4" t="s">
        <v>10</v>
      </c>
      <c r="C8" s="5">
        <f>SUM(C6:C7)</f>
        <v>1</v>
      </c>
      <c r="E8" s="4">
        <v>4</v>
      </c>
      <c r="F8" s="5">
        <f>IF(E8&lt;=$C$3,$C$6^E8*$C$7^($C$3-E8)*FACT($C$3)/(FACT(E8)*FACT($C$3-E8)),0)</f>
        <v>0.2734375</v>
      </c>
    </row>
    <row r="9" spans="2:6" x14ac:dyDescent="0.25">
      <c r="E9" s="4">
        <v>5</v>
      </c>
      <c r="F9" s="5">
        <f>IF(E9&lt;=$C$3,$C$6^E9*$C$7^($C$3-E9)*FACT($C$3)/(FACT(E9)*FACT($C$3-E9)),0)</f>
        <v>0.21875</v>
      </c>
    </row>
    <row r="10" spans="2:6" x14ac:dyDescent="0.25">
      <c r="E10" s="4">
        <v>6</v>
      </c>
      <c r="F10" s="5">
        <f>IF(E10&lt;=$C$3,$C$6^E10*$C$7^($C$3-E10)*FACT($C$3)/(FACT(E10)*FACT($C$3-E10)),0)</f>
        <v>0.109375</v>
      </c>
    </row>
    <row r="11" spans="2:6" x14ac:dyDescent="0.25">
      <c r="E11" s="4">
        <v>7</v>
      </c>
      <c r="F11" s="5">
        <f>IF(E11&lt;=$C$3,$C$6^E11*$C$7^($C$3-E11)*FACT($C$3)/(FACT(E11)*FACT($C$3-E11)),0)</f>
        <v>3.125E-2</v>
      </c>
    </row>
    <row r="12" spans="2:6" x14ac:dyDescent="0.25">
      <c r="E12" s="4">
        <v>8</v>
      </c>
      <c r="F12" s="5">
        <f>IF(E12&lt;=$C$3,$C$6^E12*$C$7^($C$3-E12)*FACT($C$3)/(FACT(E12)*FACT($C$3-E12)),0)</f>
        <v>3.90625E-3</v>
      </c>
    </row>
    <row r="13" spans="2:6" x14ac:dyDescent="0.25">
      <c r="E13" s="4">
        <v>9</v>
      </c>
      <c r="F13" s="5">
        <f>IF(E13&lt;=$C$3,$C$6^E13*$C$7^($C$3-E13)*FACT($C$3)/(FACT(E13)*FACT($C$3-E13)),0)</f>
        <v>0</v>
      </c>
    </row>
    <row r="14" spans="2:6" x14ac:dyDescent="0.25">
      <c r="E14" s="4">
        <v>10</v>
      </c>
      <c r="F14" s="5">
        <f>IF(E14&lt;=$C$3,$C$6^E14*$C$7^($C$3-E14)*FACT($C$3)/(FACT(E14)*FACT($C$3-E14)),0)</f>
        <v>0</v>
      </c>
    </row>
    <row r="15" spans="2:6" x14ac:dyDescent="0.25">
      <c r="E15" s="4">
        <v>11</v>
      </c>
      <c r="F15" s="5">
        <f>IF(E15&lt;=$C$3,$C$6^E15*$C$7^($C$3-E15)*FACT($C$3)/(FACT(E15)*FACT($C$3-E15)),0)</f>
        <v>0</v>
      </c>
    </row>
    <row r="16" spans="2:6" x14ac:dyDescent="0.25">
      <c r="E16" s="4">
        <v>12</v>
      </c>
      <c r="F16" s="5">
        <f>IF(E16&lt;=$C$3,$C$6^E16*$C$7^($C$3-E16)*FACT($C$3)/(FACT(E16)*FACT($C$3-E16)),0)</f>
        <v>0</v>
      </c>
    </row>
    <row r="17" spans="5:6" x14ac:dyDescent="0.25">
      <c r="E17" s="4">
        <v>13</v>
      </c>
      <c r="F17" s="5">
        <f>IF(E17&lt;=$C$3,$C$6^E17*$C$7^($C$3-E17)*FACT($C$3)/(FACT(E17)*FACT($C$3-E17)),0)</f>
        <v>0</v>
      </c>
    </row>
    <row r="18" spans="5:6" x14ac:dyDescent="0.25">
      <c r="E18" s="4">
        <v>14</v>
      </c>
      <c r="F18" s="5">
        <f>IF(E18&lt;=$C$3,$C$6^E18*$C$7^($C$3-E18)*FACT($C$3)/(FACT(E18)*FACT($C$3-E18)),0)</f>
        <v>0</v>
      </c>
    </row>
    <row r="19" spans="5:6" x14ac:dyDescent="0.25">
      <c r="E19" s="4">
        <v>15</v>
      </c>
      <c r="F19" s="5">
        <f>IF(E19&lt;=$C$3,$C$6^E19*$C$7^($C$3-E19)*FACT($C$3)/(FACT(E19)*FACT($C$3-E19)),0)</f>
        <v>0</v>
      </c>
    </row>
    <row r="21" spans="5:6" x14ac:dyDescent="0.25">
      <c r="E21" s="4" t="s">
        <v>10</v>
      </c>
      <c r="F21" s="5">
        <f>SUM(F4:F19)</f>
        <v>1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2F25D-2AA7-4987-A6C4-D3E1A9F5662A}">
  <dimension ref="B1:W36"/>
  <sheetViews>
    <sheetView tabSelected="1" workbookViewId="0">
      <selection activeCell="D41" sqref="D41"/>
    </sheetView>
  </sheetViews>
  <sheetFormatPr baseColWidth="10" defaultRowHeight="15" x14ac:dyDescent="0.25"/>
  <cols>
    <col min="2" max="2" width="23.140625" bestFit="1" customWidth="1"/>
    <col min="3" max="3" width="4" bestFit="1" customWidth="1"/>
    <col min="5" max="5" width="14.5703125" bestFit="1" customWidth="1"/>
    <col min="6" max="6" width="10.7109375" bestFit="1" customWidth="1"/>
    <col min="7" max="7" width="3.7109375" customWidth="1"/>
    <col min="8" max="23" width="10.5703125" hidden="1" customWidth="1"/>
  </cols>
  <sheetData>
    <row r="1" spans="2:23" ht="15.75" thickBot="1" x14ac:dyDescent="0.3">
      <c r="B1" s="3" t="s">
        <v>11</v>
      </c>
      <c r="H1" s="3"/>
      <c r="I1" s="3"/>
      <c r="J1" s="3"/>
    </row>
    <row r="2" spans="2:23" x14ac:dyDescent="0.25">
      <c r="H2" s="11" t="s">
        <v>13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3"/>
    </row>
    <row r="3" spans="2:23" ht="15.75" thickBot="1" x14ac:dyDescent="0.3">
      <c r="B3" s="4" t="s">
        <v>0</v>
      </c>
      <c r="C3" s="5">
        <v>8</v>
      </c>
      <c r="E3" s="4" t="s">
        <v>5</v>
      </c>
      <c r="F3" s="4" t="s">
        <v>14</v>
      </c>
      <c r="G3" s="1"/>
      <c r="H3" s="8">
        <v>0</v>
      </c>
      <c r="I3" s="9">
        <f>H3+1</f>
        <v>1</v>
      </c>
      <c r="J3" s="9">
        <f t="shared" ref="J3:W3" si="0">I3+1</f>
        <v>2</v>
      </c>
      <c r="K3" s="9">
        <f t="shared" si="0"/>
        <v>3</v>
      </c>
      <c r="L3" s="9">
        <f t="shared" si="0"/>
        <v>4</v>
      </c>
      <c r="M3" s="9">
        <f t="shared" si="0"/>
        <v>5</v>
      </c>
      <c r="N3" s="9">
        <f t="shared" si="0"/>
        <v>6</v>
      </c>
      <c r="O3" s="9">
        <f t="shared" si="0"/>
        <v>7</v>
      </c>
      <c r="P3" s="9">
        <f t="shared" si="0"/>
        <v>8</v>
      </c>
      <c r="Q3" s="9">
        <f t="shared" si="0"/>
        <v>9</v>
      </c>
      <c r="R3" s="9">
        <f t="shared" si="0"/>
        <v>10</v>
      </c>
      <c r="S3" s="9">
        <f t="shared" si="0"/>
        <v>11</v>
      </c>
      <c r="T3" s="9">
        <f t="shared" si="0"/>
        <v>12</v>
      </c>
      <c r="U3" s="9">
        <f t="shared" si="0"/>
        <v>13</v>
      </c>
      <c r="V3" s="9">
        <f t="shared" si="0"/>
        <v>14</v>
      </c>
      <c r="W3" s="10">
        <f t="shared" si="0"/>
        <v>15</v>
      </c>
    </row>
    <row r="4" spans="2:23" x14ac:dyDescent="0.25">
      <c r="B4" s="4" t="s">
        <v>4</v>
      </c>
      <c r="C4" s="5">
        <v>6</v>
      </c>
      <c r="E4" s="4">
        <f>-C3</f>
        <v>-8</v>
      </c>
      <c r="F4" s="6">
        <f>SUM(H4:W4)</f>
        <v>1.0000000000000008E-8</v>
      </c>
      <c r="G4" s="1"/>
      <c r="H4" s="7">
        <f>IF(NOT(ISERR(FACT($C$3)/(FACT(H$3)*FACT($C$3-2*H$3-$E4)*FACT($E4+H$3))*($C$10^H$3)*($C$9^($C$3-2*H$3-$E4))*($C$8^($E4+H$3)))),FACT($C$3)/(FACT(H$3)*FACT($C$3-2*H$3-$E4)*FACT($E4+H$3))*($C$10^H$3)*($C$9^($C$3-2*H$3-$E4))*($C$8^($E4+H$3)),0)</f>
        <v>0</v>
      </c>
      <c r="I4" s="7">
        <f>IF(NOT(ISERR(FACT($C$3)/(FACT(I$3)*FACT($C$3-2*I$3-$E4)*FACT($E4+I$3))*($C$10^I$3)*($C$9^($C$3-2*I$3-$E4))*($C$8^($E4+I$3)))),FACT($C$3)/(FACT(I$3)*FACT($C$3-2*I$3-$E4)*FACT($E4+I$3))*($C$10^I$3)*($C$9^($C$3-2*I$3-$E4))*($C$8^($E4+I$3)),0)</f>
        <v>0</v>
      </c>
      <c r="J4" s="7">
        <f>IF(NOT(ISERR(FACT($C$3)/(FACT(J$3)*FACT($C$3-2*J$3-$E4)*FACT($E4+J$3))*($C$10^J$3)*($C$9^($C$3-2*J$3-$E4))*($C$8^($E4+J$3)))),FACT($C$3)/(FACT(J$3)*FACT($C$3-2*J$3-$E4)*FACT($E4+J$3))*($C$10^J$3)*($C$9^($C$3-2*J$3-$E4))*($C$8^($E4+J$3)),0)</f>
        <v>0</v>
      </c>
      <c r="K4" s="7">
        <f>IF(NOT(ISERR(FACT($C$3)/(FACT(K$3)*FACT($C$3-2*K$3-$E4)*FACT($E4+K$3))*($C$10^K$3)*($C$9^($C$3-2*K$3-$E4))*($C$8^($E4+K$3)))),FACT($C$3)/(FACT(K$3)*FACT($C$3-2*K$3-$E4)*FACT($E4+K$3))*($C$10^K$3)*($C$9^($C$3-2*K$3-$E4))*($C$8^($E4+K$3)),0)</f>
        <v>0</v>
      </c>
      <c r="L4" s="7">
        <f>IF(NOT(ISERR(FACT($C$3)/(FACT(L$3)*FACT($C$3-2*L$3-$E4)*FACT($E4+L$3))*($C$10^L$3)*($C$9^($C$3-2*L$3-$E4))*($C$8^($E4+L$3)))),FACT($C$3)/(FACT(L$3)*FACT($C$3-2*L$3-$E4)*FACT($E4+L$3))*($C$10^L$3)*($C$9^($C$3-2*L$3-$E4))*($C$8^($E4+L$3)),0)</f>
        <v>0</v>
      </c>
      <c r="M4" s="7">
        <f>IF(NOT(ISERR(FACT($C$3)/(FACT(M$3)*FACT($C$3-2*M$3-$E4)*FACT($E4+M$3))*($C$10^M$3)*($C$9^($C$3-2*M$3-$E4))*($C$8^($E4+M$3)))),FACT($C$3)/(FACT(M$3)*FACT($C$3-2*M$3-$E4)*FACT($E4+M$3))*($C$10^M$3)*($C$9^($C$3-2*M$3-$E4))*($C$8^($E4+M$3)),0)</f>
        <v>0</v>
      </c>
      <c r="N4" s="7">
        <f>IF(NOT(ISERR(FACT($C$3)/(FACT(N$3)*FACT($C$3-2*N$3-$E4)*FACT($E4+N$3))*($C$10^N$3)*($C$9^($C$3-2*N$3-$E4))*($C$8^($E4+N$3)))),FACT($C$3)/(FACT(N$3)*FACT($C$3-2*N$3-$E4)*FACT($E4+N$3))*($C$10^N$3)*($C$9^($C$3-2*N$3-$E4))*($C$8^($E4+N$3)),0)</f>
        <v>0</v>
      </c>
      <c r="O4" s="7">
        <f>IF(NOT(ISERR(FACT($C$3)/(FACT(O$3)*FACT($C$3-2*O$3-$E4)*FACT($E4+O$3))*($C$10^O$3)*($C$9^($C$3-2*O$3-$E4))*($C$8^($E4+O$3)))),FACT($C$3)/(FACT(O$3)*FACT($C$3-2*O$3-$E4)*FACT($E4+O$3))*($C$10^O$3)*($C$9^($C$3-2*O$3-$E4))*($C$8^($E4+O$3)),0)</f>
        <v>0</v>
      </c>
      <c r="P4" s="7">
        <f>IF(NOT(ISERR(FACT($C$3)/(FACT(P$3)*FACT($C$3-2*P$3-$E4)*FACT($E4+P$3))*($C$10^P$3)*($C$9^($C$3-2*P$3-$E4))*($C$8^($E4+P$3)))),FACT($C$3)/(FACT(P$3)*FACT($C$3-2*P$3-$E4)*FACT($E4+P$3))*($C$10^P$3)*($C$9^($C$3-2*P$3-$E4))*($C$8^($E4+P$3)),0)</f>
        <v>1.0000000000000008E-8</v>
      </c>
      <c r="Q4" s="7">
        <f>IF(NOT(ISERR(FACT($C$3)/(FACT(Q$3)*FACT($C$3-2*Q$3-$E4)*FACT($E4+Q$3))*($C$10^Q$3)*($C$9^($C$3-2*Q$3-$E4))*($C$8^($E4+Q$3)))),FACT($C$3)/(FACT(Q$3)*FACT($C$3-2*Q$3-$E4)*FACT($E4+Q$3))*($C$10^Q$3)*($C$9^($C$3-2*Q$3-$E4))*($C$8^($E4+Q$3)),0)</f>
        <v>0</v>
      </c>
      <c r="R4" s="7">
        <f>IF(NOT(ISERR(FACT($C$3)/(FACT(R$3)*FACT($C$3-2*R$3-$E4)*FACT($E4+R$3))*($C$10^R$3)*($C$9^($C$3-2*R$3-$E4))*($C$8^($E4+R$3)))),FACT($C$3)/(FACT(R$3)*FACT($C$3-2*R$3-$E4)*FACT($E4+R$3))*($C$10^R$3)*($C$9^($C$3-2*R$3-$E4))*($C$8^($E4+R$3)),0)</f>
        <v>0</v>
      </c>
      <c r="S4" s="7">
        <f>IF(NOT(ISERR(FACT($C$3)/(FACT(S$3)*FACT($C$3-2*S$3-$E4)*FACT($E4+S$3))*($C$10^S$3)*($C$9^($C$3-2*S$3-$E4))*($C$8^($E4+S$3)))),FACT($C$3)/(FACT(S$3)*FACT($C$3-2*S$3-$E4)*FACT($E4+S$3))*($C$10^S$3)*($C$9^($C$3-2*S$3-$E4))*($C$8^($E4+S$3)),0)</f>
        <v>0</v>
      </c>
      <c r="T4" s="7">
        <f>IF(NOT(ISERR(FACT($C$3)/(FACT(T$3)*FACT($C$3-2*T$3-$E4)*FACT($E4+T$3))*($C$10^T$3)*($C$9^($C$3-2*T$3-$E4))*($C$8^($E4+T$3)))),FACT($C$3)/(FACT(T$3)*FACT($C$3-2*T$3-$E4)*FACT($E4+T$3))*($C$10^T$3)*($C$9^($C$3-2*T$3-$E4))*($C$8^($E4+T$3)),0)</f>
        <v>0</v>
      </c>
      <c r="U4" s="7">
        <f>IF(NOT(ISERR(FACT($C$3)/(FACT(U$3)*FACT($C$3-2*U$3-$E4)*FACT($E4+U$3))*($C$10^U$3)*($C$9^($C$3-2*U$3-$E4))*($C$8^($E4+U$3)))),FACT($C$3)/(FACT(U$3)*FACT($C$3-2*U$3-$E4)*FACT($E4+U$3))*($C$10^U$3)*($C$9^($C$3-2*U$3-$E4))*($C$8^($E4+U$3)),0)</f>
        <v>0</v>
      </c>
      <c r="V4" s="7">
        <f>IF(NOT(ISERR(FACT($C$3)/(FACT(V$3)*FACT($C$3-2*V$3-$E4)*FACT($E4+V$3))*($C$10^V$3)*($C$9^($C$3-2*V$3-$E4))*($C$8^($E4+V$3)))),FACT($C$3)/(FACT(V$3)*FACT($C$3-2*V$3-$E4)*FACT($E4+V$3))*($C$10^V$3)*($C$9^($C$3-2*V$3-$E4))*($C$8^($E4+V$3)),0)</f>
        <v>0</v>
      </c>
      <c r="W4" s="7">
        <f>IF(NOT(ISERR(FACT($C$3)/(FACT(W$3)*FACT($C$3-2*W$3-$E4)*FACT($E4+W$3))*($C$10^W$3)*($C$9^($C$3-2*W$3-$E4))*($C$8^($E4+W$3)))),FACT($C$3)/(FACT(W$3)*FACT($C$3-2*W$3-$E4)*FACT($E4+W$3))*($C$10^W$3)*($C$9^($C$3-2*W$3-$E4))*($C$8^($E4+W$3)),0)</f>
        <v>0</v>
      </c>
    </row>
    <row r="5" spans="2:23" x14ac:dyDescent="0.25">
      <c r="E5" s="4">
        <f>E4+1</f>
        <v>-7</v>
      </c>
      <c r="F5" s="6">
        <f t="shared" ref="F5:F24" si="1">SUM(H5:W5)</f>
        <v>3.2000000000000027E-7</v>
      </c>
      <c r="G5" s="1"/>
      <c r="H5" s="5">
        <f>IF(NOT(ISERR(FACT($C$3)/(FACT(H$3)*FACT($C$3-2*H$3-$E5)*FACT($E5+H$3))*($C$10^H$3)*($C$9^($C$3-2*H$3-$E5))*($C$8^($E5+H$3)))),FACT($C$3)/(FACT(H$3)*FACT($C$3-2*H$3-$E5)*FACT($E5+H$3))*($C$10^H$3)*($C$9^($C$3-2*H$3-$E5))*($C$8^($E5+H$3)),0)</f>
        <v>0</v>
      </c>
      <c r="I5" s="5">
        <f>IF(NOT(ISERR(FACT($C$3)/(FACT(I$3)*FACT($C$3-2*I$3-$E5)*FACT($E5+I$3))*($C$10^I$3)*($C$9^($C$3-2*I$3-$E5))*($C$8^($E5+I$3)))),FACT($C$3)/(FACT(I$3)*FACT($C$3-2*I$3-$E5)*FACT($E5+I$3))*($C$10^I$3)*($C$9^($C$3-2*I$3-$E5))*($C$8^($E5+I$3)),0)</f>
        <v>0</v>
      </c>
      <c r="J5" s="5">
        <f>IF(NOT(ISERR(FACT($C$3)/(FACT(J$3)*FACT($C$3-2*J$3-$E5)*FACT($E5+J$3))*($C$10^J$3)*($C$9^($C$3-2*J$3-$E5))*($C$8^($E5+J$3)))),FACT($C$3)/(FACT(J$3)*FACT($C$3-2*J$3-$E5)*FACT($E5+J$3))*($C$10^J$3)*($C$9^($C$3-2*J$3-$E5))*($C$8^($E5+J$3)),0)</f>
        <v>0</v>
      </c>
      <c r="K5" s="5">
        <f>IF(NOT(ISERR(FACT($C$3)/(FACT(K$3)*FACT($C$3-2*K$3-$E5)*FACT($E5+K$3))*($C$10^K$3)*($C$9^($C$3-2*K$3-$E5))*($C$8^($E5+K$3)))),FACT($C$3)/(FACT(K$3)*FACT($C$3-2*K$3-$E5)*FACT($E5+K$3))*($C$10^K$3)*($C$9^($C$3-2*K$3-$E5))*($C$8^($E5+K$3)),0)</f>
        <v>0</v>
      </c>
      <c r="L5" s="5">
        <f>IF(NOT(ISERR(FACT($C$3)/(FACT(L$3)*FACT($C$3-2*L$3-$E5)*FACT($E5+L$3))*($C$10^L$3)*($C$9^($C$3-2*L$3-$E5))*($C$8^($E5+L$3)))),FACT($C$3)/(FACT(L$3)*FACT($C$3-2*L$3-$E5)*FACT($E5+L$3))*($C$10^L$3)*($C$9^($C$3-2*L$3-$E5))*($C$8^($E5+L$3)),0)</f>
        <v>0</v>
      </c>
      <c r="M5" s="5">
        <f>IF(NOT(ISERR(FACT($C$3)/(FACT(M$3)*FACT($C$3-2*M$3-$E5)*FACT($E5+M$3))*($C$10^M$3)*($C$9^($C$3-2*M$3-$E5))*($C$8^($E5+M$3)))),FACT($C$3)/(FACT(M$3)*FACT($C$3-2*M$3-$E5)*FACT($E5+M$3))*($C$10^M$3)*($C$9^($C$3-2*M$3-$E5))*($C$8^($E5+M$3)),0)</f>
        <v>0</v>
      </c>
      <c r="N5" s="5">
        <f>IF(NOT(ISERR(FACT($C$3)/(FACT(N$3)*FACT($C$3-2*N$3-$E5)*FACT($E5+N$3))*($C$10^N$3)*($C$9^($C$3-2*N$3-$E5))*($C$8^($E5+N$3)))),FACT($C$3)/(FACT(N$3)*FACT($C$3-2*N$3-$E5)*FACT($E5+N$3))*($C$10^N$3)*($C$9^($C$3-2*N$3-$E5))*($C$8^($E5+N$3)),0)</f>
        <v>0</v>
      </c>
      <c r="O5" s="5">
        <f>IF(NOT(ISERR(FACT($C$3)/(FACT(O$3)*FACT($C$3-2*O$3-$E5)*FACT($E5+O$3))*($C$10^O$3)*($C$9^($C$3-2*O$3-$E5))*($C$8^($E5+O$3)))),FACT($C$3)/(FACT(O$3)*FACT($C$3-2*O$3-$E5)*FACT($E5+O$3))*($C$10^O$3)*($C$9^($C$3-2*O$3-$E5))*($C$8^($E5+O$3)),0)</f>
        <v>3.2000000000000027E-7</v>
      </c>
      <c r="P5" s="5">
        <f>IF(NOT(ISERR(FACT($C$3)/(FACT(P$3)*FACT($C$3-2*P$3-$E5)*FACT($E5+P$3))*($C$10^P$3)*($C$9^($C$3-2*P$3-$E5))*($C$8^($E5+P$3)))),FACT($C$3)/(FACT(P$3)*FACT($C$3-2*P$3-$E5)*FACT($E5+P$3))*($C$10^P$3)*($C$9^($C$3-2*P$3-$E5))*($C$8^($E5+P$3)),0)</f>
        <v>0</v>
      </c>
      <c r="Q5" s="5">
        <f>IF(NOT(ISERR(FACT($C$3)/(FACT(Q$3)*FACT($C$3-2*Q$3-$E5)*FACT($E5+Q$3))*($C$10^Q$3)*($C$9^($C$3-2*Q$3-$E5))*($C$8^($E5+Q$3)))),FACT($C$3)/(FACT(Q$3)*FACT($C$3-2*Q$3-$E5)*FACT($E5+Q$3))*($C$10^Q$3)*($C$9^($C$3-2*Q$3-$E5))*($C$8^($E5+Q$3)),0)</f>
        <v>0</v>
      </c>
      <c r="R5" s="5">
        <f>IF(NOT(ISERR(FACT($C$3)/(FACT(R$3)*FACT($C$3-2*R$3-$E5)*FACT($E5+R$3))*($C$10^R$3)*($C$9^($C$3-2*R$3-$E5))*($C$8^($E5+R$3)))),FACT($C$3)/(FACT(R$3)*FACT($C$3-2*R$3-$E5)*FACT($E5+R$3))*($C$10^R$3)*($C$9^($C$3-2*R$3-$E5))*($C$8^($E5+R$3)),0)</f>
        <v>0</v>
      </c>
      <c r="S5" s="5">
        <f>IF(NOT(ISERR(FACT($C$3)/(FACT(S$3)*FACT($C$3-2*S$3-$E5)*FACT($E5+S$3))*($C$10^S$3)*($C$9^($C$3-2*S$3-$E5))*($C$8^($E5+S$3)))),FACT($C$3)/(FACT(S$3)*FACT($C$3-2*S$3-$E5)*FACT($E5+S$3))*($C$10^S$3)*($C$9^($C$3-2*S$3-$E5))*($C$8^($E5+S$3)),0)</f>
        <v>0</v>
      </c>
      <c r="T5" s="5">
        <f>IF(NOT(ISERR(FACT($C$3)/(FACT(T$3)*FACT($C$3-2*T$3-$E5)*FACT($E5+T$3))*($C$10^T$3)*($C$9^($C$3-2*T$3-$E5))*($C$8^($E5+T$3)))),FACT($C$3)/(FACT(T$3)*FACT($C$3-2*T$3-$E5)*FACT($E5+T$3))*($C$10^T$3)*($C$9^($C$3-2*T$3-$E5))*($C$8^($E5+T$3)),0)</f>
        <v>0</v>
      </c>
      <c r="U5" s="5">
        <f>IF(NOT(ISERR(FACT($C$3)/(FACT(U$3)*FACT($C$3-2*U$3-$E5)*FACT($E5+U$3))*($C$10^U$3)*($C$9^($C$3-2*U$3-$E5))*($C$8^($E5+U$3)))),FACT($C$3)/(FACT(U$3)*FACT($C$3-2*U$3-$E5)*FACT($E5+U$3))*($C$10^U$3)*($C$9^($C$3-2*U$3-$E5))*($C$8^($E5+U$3)),0)</f>
        <v>0</v>
      </c>
      <c r="V5" s="5">
        <f>IF(NOT(ISERR(FACT($C$3)/(FACT(V$3)*FACT($C$3-2*V$3-$E5)*FACT($E5+V$3))*($C$10^V$3)*($C$9^($C$3-2*V$3-$E5))*($C$8^($E5+V$3)))),FACT($C$3)/(FACT(V$3)*FACT($C$3-2*V$3-$E5)*FACT($E5+V$3))*($C$10^V$3)*($C$9^($C$3-2*V$3-$E5))*($C$8^($E5+V$3)),0)</f>
        <v>0</v>
      </c>
      <c r="W5" s="5">
        <f>IF(NOT(ISERR(FACT($C$3)/(FACT(W$3)*FACT($C$3-2*W$3-$E5)*FACT($E5+W$3))*($C$10^W$3)*($C$9^($C$3-2*W$3-$E5))*($C$8^($E5+W$3)))),FACT($C$3)/(FACT(W$3)*FACT($C$3-2*W$3-$E5)*FACT($E5+W$3))*($C$10^W$3)*($C$9^($C$3-2*W$3-$E5))*($C$8^($E5+W$3)),0)</f>
        <v>0</v>
      </c>
    </row>
    <row r="6" spans="2:23" x14ac:dyDescent="0.25">
      <c r="E6" s="4">
        <f t="shared" ref="E6:E24" si="2">E5+1</f>
        <v>-6</v>
      </c>
      <c r="F6" s="6">
        <f t="shared" si="1"/>
        <v>4.8800000000000041E-6</v>
      </c>
      <c r="G6" s="1"/>
      <c r="H6" s="5">
        <f>IF(NOT(ISERR(FACT($C$3)/(FACT(H$3)*FACT($C$3-2*H$3-$E6)*FACT($E6+H$3))*($C$10^H$3)*($C$9^($C$3-2*H$3-$E6))*($C$8^($E6+H$3)))),FACT($C$3)/(FACT(H$3)*FACT($C$3-2*H$3-$E6)*FACT($E6+H$3))*($C$10^H$3)*($C$9^($C$3-2*H$3-$E6))*($C$8^($E6+H$3)),0)</f>
        <v>0</v>
      </c>
      <c r="I6" s="5">
        <f>IF(NOT(ISERR(FACT($C$3)/(FACT(I$3)*FACT($C$3-2*I$3-$E6)*FACT($E6+I$3))*($C$10^I$3)*($C$9^($C$3-2*I$3-$E6))*($C$8^($E6+I$3)))),FACT($C$3)/(FACT(I$3)*FACT($C$3-2*I$3-$E6)*FACT($E6+I$3))*($C$10^I$3)*($C$9^($C$3-2*I$3-$E6))*($C$8^($E6+I$3)),0)</f>
        <v>0</v>
      </c>
      <c r="J6" s="5">
        <f>IF(NOT(ISERR(FACT($C$3)/(FACT(J$3)*FACT($C$3-2*J$3-$E6)*FACT($E6+J$3))*($C$10^J$3)*($C$9^($C$3-2*J$3-$E6))*($C$8^($E6+J$3)))),FACT($C$3)/(FACT(J$3)*FACT($C$3-2*J$3-$E6)*FACT($E6+J$3))*($C$10^J$3)*($C$9^($C$3-2*J$3-$E6))*($C$8^($E6+J$3)),0)</f>
        <v>0</v>
      </c>
      <c r="K6" s="5">
        <f>IF(NOT(ISERR(FACT($C$3)/(FACT(K$3)*FACT($C$3-2*K$3-$E6)*FACT($E6+K$3))*($C$10^K$3)*($C$9^($C$3-2*K$3-$E6))*($C$8^($E6+K$3)))),FACT($C$3)/(FACT(K$3)*FACT($C$3-2*K$3-$E6)*FACT($E6+K$3))*($C$10^K$3)*($C$9^($C$3-2*K$3-$E6))*($C$8^($E6+K$3)),0)</f>
        <v>0</v>
      </c>
      <c r="L6" s="5">
        <f>IF(NOT(ISERR(FACT($C$3)/(FACT(L$3)*FACT($C$3-2*L$3-$E6)*FACT($E6+L$3))*($C$10^L$3)*($C$9^($C$3-2*L$3-$E6))*($C$8^($E6+L$3)))),FACT($C$3)/(FACT(L$3)*FACT($C$3-2*L$3-$E6)*FACT($E6+L$3))*($C$10^L$3)*($C$9^($C$3-2*L$3-$E6))*($C$8^($E6+L$3)),0)</f>
        <v>0</v>
      </c>
      <c r="M6" s="5">
        <f>IF(NOT(ISERR(FACT($C$3)/(FACT(M$3)*FACT($C$3-2*M$3-$E6)*FACT($E6+M$3))*($C$10^M$3)*($C$9^($C$3-2*M$3-$E6))*($C$8^($E6+M$3)))),FACT($C$3)/(FACT(M$3)*FACT($C$3-2*M$3-$E6)*FACT($E6+M$3))*($C$10^M$3)*($C$9^($C$3-2*M$3-$E6))*($C$8^($E6+M$3)),0)</f>
        <v>0</v>
      </c>
      <c r="N6" s="5">
        <f>IF(NOT(ISERR(FACT($C$3)/(FACT(N$3)*FACT($C$3-2*N$3-$E6)*FACT($E6+N$3))*($C$10^N$3)*($C$9^($C$3-2*N$3-$E6))*($C$8^($E6+N$3)))),FACT($C$3)/(FACT(N$3)*FACT($C$3-2*N$3-$E6)*FACT($E6+N$3))*($C$10^N$3)*($C$9^($C$3-2*N$3-$E6))*($C$8^($E6+N$3)),0)</f>
        <v>4.4800000000000037E-6</v>
      </c>
      <c r="O6" s="5">
        <f>IF(NOT(ISERR(FACT($C$3)/(FACT(O$3)*FACT($C$3-2*O$3-$E6)*FACT($E6+O$3))*($C$10^O$3)*($C$9^($C$3-2*O$3-$E6))*($C$8^($E6+O$3)))),FACT($C$3)/(FACT(O$3)*FACT($C$3-2*O$3-$E6)*FACT($E6+O$3))*($C$10^O$3)*($C$9^($C$3-2*O$3-$E6))*($C$8^($E6+O$3)),0)</f>
        <v>4.000000000000003E-7</v>
      </c>
      <c r="P6" s="5">
        <f>IF(NOT(ISERR(FACT($C$3)/(FACT(P$3)*FACT($C$3-2*P$3-$E6)*FACT($E6+P$3))*($C$10^P$3)*($C$9^($C$3-2*P$3-$E6))*($C$8^($E6+P$3)))),FACT($C$3)/(FACT(P$3)*FACT($C$3-2*P$3-$E6)*FACT($E6+P$3))*($C$10^P$3)*($C$9^($C$3-2*P$3-$E6))*($C$8^($E6+P$3)),0)</f>
        <v>0</v>
      </c>
      <c r="Q6" s="5">
        <f>IF(NOT(ISERR(FACT($C$3)/(FACT(Q$3)*FACT($C$3-2*Q$3-$E6)*FACT($E6+Q$3))*($C$10^Q$3)*($C$9^($C$3-2*Q$3-$E6))*($C$8^($E6+Q$3)))),FACT($C$3)/(FACT(Q$3)*FACT($C$3-2*Q$3-$E6)*FACT($E6+Q$3))*($C$10^Q$3)*($C$9^($C$3-2*Q$3-$E6))*($C$8^($E6+Q$3)),0)</f>
        <v>0</v>
      </c>
      <c r="R6" s="5">
        <f>IF(NOT(ISERR(FACT($C$3)/(FACT(R$3)*FACT($C$3-2*R$3-$E6)*FACT($E6+R$3))*($C$10^R$3)*($C$9^($C$3-2*R$3-$E6))*($C$8^($E6+R$3)))),FACT($C$3)/(FACT(R$3)*FACT($C$3-2*R$3-$E6)*FACT($E6+R$3))*($C$10^R$3)*($C$9^($C$3-2*R$3-$E6))*($C$8^($E6+R$3)),0)</f>
        <v>0</v>
      </c>
      <c r="S6" s="5">
        <f>IF(NOT(ISERR(FACT($C$3)/(FACT(S$3)*FACT($C$3-2*S$3-$E6)*FACT($E6+S$3))*($C$10^S$3)*($C$9^($C$3-2*S$3-$E6))*($C$8^($E6+S$3)))),FACT($C$3)/(FACT(S$3)*FACT($C$3-2*S$3-$E6)*FACT($E6+S$3))*($C$10^S$3)*($C$9^($C$3-2*S$3-$E6))*($C$8^($E6+S$3)),0)</f>
        <v>0</v>
      </c>
      <c r="T6" s="5">
        <f>IF(NOT(ISERR(FACT($C$3)/(FACT(T$3)*FACT($C$3-2*T$3-$E6)*FACT($E6+T$3))*($C$10^T$3)*($C$9^($C$3-2*T$3-$E6))*($C$8^($E6+T$3)))),FACT($C$3)/(FACT(T$3)*FACT($C$3-2*T$3-$E6)*FACT($E6+T$3))*($C$10^T$3)*($C$9^($C$3-2*T$3-$E6))*($C$8^($E6+T$3)),0)</f>
        <v>0</v>
      </c>
      <c r="U6" s="5">
        <f>IF(NOT(ISERR(FACT($C$3)/(FACT(U$3)*FACT($C$3-2*U$3-$E6)*FACT($E6+U$3))*($C$10^U$3)*($C$9^($C$3-2*U$3-$E6))*($C$8^($E6+U$3)))),FACT($C$3)/(FACT(U$3)*FACT($C$3-2*U$3-$E6)*FACT($E6+U$3))*($C$10^U$3)*($C$9^($C$3-2*U$3-$E6))*($C$8^($E6+U$3)),0)</f>
        <v>0</v>
      </c>
      <c r="V6" s="5">
        <f>IF(NOT(ISERR(FACT($C$3)/(FACT(V$3)*FACT($C$3-2*V$3-$E6)*FACT($E6+V$3))*($C$10^V$3)*($C$9^($C$3-2*V$3-$E6))*($C$8^($E6+V$3)))),FACT($C$3)/(FACT(V$3)*FACT($C$3-2*V$3-$E6)*FACT($E6+V$3))*($C$10^V$3)*($C$9^($C$3-2*V$3-$E6))*($C$8^($E6+V$3)),0)</f>
        <v>0</v>
      </c>
      <c r="W6" s="5">
        <f>IF(NOT(ISERR(FACT($C$3)/(FACT(W$3)*FACT($C$3-2*W$3-$E6)*FACT($E6+W$3))*($C$10^W$3)*($C$9^($C$3-2*W$3-$E6))*($C$8^($E6+W$3)))),FACT($C$3)/(FACT(W$3)*FACT($C$3-2*W$3-$E6)*FACT($E6+W$3))*($C$10^W$3)*($C$9^($C$3-2*W$3-$E6))*($C$8^($E6+W$3)),0)</f>
        <v>0</v>
      </c>
    </row>
    <row r="7" spans="2:23" x14ac:dyDescent="0.25">
      <c r="E7" s="4">
        <f t="shared" si="2"/>
        <v>-5</v>
      </c>
      <c r="F7" s="6">
        <f t="shared" si="1"/>
        <v>4.7040000000000044E-5</v>
      </c>
      <c r="G7" s="1"/>
      <c r="H7" s="5">
        <f>IF(NOT(ISERR(FACT($C$3)/(FACT(H$3)*FACT($C$3-2*H$3-$E7)*FACT($E7+H$3))*($C$10^H$3)*($C$9^($C$3-2*H$3-$E7))*($C$8^($E7+H$3)))),FACT($C$3)/(FACT(H$3)*FACT($C$3-2*H$3-$E7)*FACT($E7+H$3))*($C$10^H$3)*($C$9^($C$3-2*H$3-$E7))*($C$8^($E7+H$3)),0)</f>
        <v>0</v>
      </c>
      <c r="I7" s="5">
        <f>IF(NOT(ISERR(FACT($C$3)/(FACT(I$3)*FACT($C$3-2*I$3-$E7)*FACT($E7+I$3))*($C$10^I$3)*($C$9^($C$3-2*I$3-$E7))*($C$8^($E7+I$3)))),FACT($C$3)/(FACT(I$3)*FACT($C$3-2*I$3-$E7)*FACT($E7+I$3))*($C$10^I$3)*($C$9^($C$3-2*I$3-$E7))*($C$8^($E7+I$3)),0)</f>
        <v>0</v>
      </c>
      <c r="J7" s="5">
        <f>IF(NOT(ISERR(FACT($C$3)/(FACT(J$3)*FACT($C$3-2*J$3-$E7)*FACT($E7+J$3))*($C$10^J$3)*($C$9^($C$3-2*J$3-$E7))*($C$8^($E7+J$3)))),FACT($C$3)/(FACT(J$3)*FACT($C$3-2*J$3-$E7)*FACT($E7+J$3))*($C$10^J$3)*($C$9^($C$3-2*J$3-$E7))*($C$8^($E7+J$3)),0)</f>
        <v>0</v>
      </c>
      <c r="K7" s="5">
        <f>IF(NOT(ISERR(FACT($C$3)/(FACT(K$3)*FACT($C$3-2*K$3-$E7)*FACT($E7+K$3))*($C$10^K$3)*($C$9^($C$3-2*K$3-$E7))*($C$8^($E7+K$3)))),FACT($C$3)/(FACT(K$3)*FACT($C$3-2*K$3-$E7)*FACT($E7+K$3))*($C$10^K$3)*($C$9^($C$3-2*K$3-$E7))*($C$8^($E7+K$3)),0)</f>
        <v>0</v>
      </c>
      <c r="L7" s="5">
        <f>IF(NOT(ISERR(FACT($C$3)/(FACT(L$3)*FACT($C$3-2*L$3-$E7)*FACT($E7+L$3))*($C$10^L$3)*($C$9^($C$3-2*L$3-$E7))*($C$8^($E7+L$3)))),FACT($C$3)/(FACT(L$3)*FACT($C$3-2*L$3-$E7)*FACT($E7+L$3))*($C$10^L$3)*($C$9^($C$3-2*L$3-$E7))*($C$8^($E7+L$3)),0)</f>
        <v>0</v>
      </c>
      <c r="M7" s="5">
        <f>IF(NOT(ISERR(FACT($C$3)/(FACT(M$3)*FACT($C$3-2*M$3-$E7)*FACT($E7+M$3))*($C$10^M$3)*($C$9^($C$3-2*M$3-$E7))*($C$8^($E7+M$3)))),FACT($C$3)/(FACT(M$3)*FACT($C$3-2*M$3-$E7)*FACT($E7+M$3))*($C$10^M$3)*($C$9^($C$3-2*M$3-$E7))*($C$8^($E7+M$3)),0)</f>
        <v>3.5840000000000036E-5</v>
      </c>
      <c r="N7" s="5">
        <f>IF(NOT(ISERR(FACT($C$3)/(FACT(N$3)*FACT($C$3-2*N$3-$E7)*FACT($E7+N$3))*($C$10^N$3)*($C$9^($C$3-2*N$3-$E7))*($C$8^($E7+N$3)))),FACT($C$3)/(FACT(N$3)*FACT($C$3-2*N$3-$E7)*FACT($E7+N$3))*($C$10^N$3)*($C$9^($C$3-2*N$3-$E7))*($C$8^($E7+N$3)),0)</f>
        <v>1.1200000000000008E-5</v>
      </c>
      <c r="O7" s="5">
        <f>IF(NOT(ISERR(FACT($C$3)/(FACT(O$3)*FACT($C$3-2*O$3-$E7)*FACT($E7+O$3))*($C$10^O$3)*($C$9^($C$3-2*O$3-$E7))*($C$8^($E7+O$3)))),FACT($C$3)/(FACT(O$3)*FACT($C$3-2*O$3-$E7)*FACT($E7+O$3))*($C$10^O$3)*($C$9^($C$3-2*O$3-$E7))*($C$8^($E7+O$3)),0)</f>
        <v>0</v>
      </c>
      <c r="P7" s="5">
        <f>IF(NOT(ISERR(FACT($C$3)/(FACT(P$3)*FACT($C$3-2*P$3-$E7)*FACT($E7+P$3))*($C$10^P$3)*($C$9^($C$3-2*P$3-$E7))*($C$8^($E7+P$3)))),FACT($C$3)/(FACT(P$3)*FACT($C$3-2*P$3-$E7)*FACT($E7+P$3))*($C$10^P$3)*($C$9^($C$3-2*P$3-$E7))*($C$8^($E7+P$3)),0)</f>
        <v>0</v>
      </c>
      <c r="Q7" s="5">
        <f>IF(NOT(ISERR(FACT($C$3)/(FACT(Q$3)*FACT($C$3-2*Q$3-$E7)*FACT($E7+Q$3))*($C$10^Q$3)*($C$9^($C$3-2*Q$3-$E7))*($C$8^($E7+Q$3)))),FACT($C$3)/(FACT(Q$3)*FACT($C$3-2*Q$3-$E7)*FACT($E7+Q$3))*($C$10^Q$3)*($C$9^($C$3-2*Q$3-$E7))*($C$8^($E7+Q$3)),0)</f>
        <v>0</v>
      </c>
      <c r="R7" s="5">
        <f>IF(NOT(ISERR(FACT($C$3)/(FACT(R$3)*FACT($C$3-2*R$3-$E7)*FACT($E7+R$3))*($C$10^R$3)*($C$9^($C$3-2*R$3-$E7))*($C$8^($E7+R$3)))),FACT($C$3)/(FACT(R$3)*FACT($C$3-2*R$3-$E7)*FACT($E7+R$3))*($C$10^R$3)*($C$9^($C$3-2*R$3-$E7))*($C$8^($E7+R$3)),0)</f>
        <v>0</v>
      </c>
      <c r="S7" s="5">
        <f>IF(NOT(ISERR(FACT($C$3)/(FACT(S$3)*FACT($C$3-2*S$3-$E7)*FACT($E7+S$3))*($C$10^S$3)*($C$9^($C$3-2*S$3-$E7))*($C$8^($E7+S$3)))),FACT($C$3)/(FACT(S$3)*FACT($C$3-2*S$3-$E7)*FACT($E7+S$3))*($C$10^S$3)*($C$9^($C$3-2*S$3-$E7))*($C$8^($E7+S$3)),0)</f>
        <v>0</v>
      </c>
      <c r="T7" s="5">
        <f>IF(NOT(ISERR(FACT($C$3)/(FACT(T$3)*FACT($C$3-2*T$3-$E7)*FACT($E7+T$3))*($C$10^T$3)*($C$9^($C$3-2*T$3-$E7))*($C$8^($E7+T$3)))),FACT($C$3)/(FACT(T$3)*FACT($C$3-2*T$3-$E7)*FACT($E7+T$3))*($C$10^T$3)*($C$9^($C$3-2*T$3-$E7))*($C$8^($E7+T$3)),0)</f>
        <v>0</v>
      </c>
      <c r="U7" s="5">
        <f>IF(NOT(ISERR(FACT($C$3)/(FACT(U$3)*FACT($C$3-2*U$3-$E7)*FACT($E7+U$3))*($C$10^U$3)*($C$9^($C$3-2*U$3-$E7))*($C$8^($E7+U$3)))),FACT($C$3)/(FACT(U$3)*FACT($C$3-2*U$3-$E7)*FACT($E7+U$3))*($C$10^U$3)*($C$9^($C$3-2*U$3-$E7))*($C$8^($E7+U$3)),0)</f>
        <v>0</v>
      </c>
      <c r="V7" s="5">
        <f>IF(NOT(ISERR(FACT($C$3)/(FACT(V$3)*FACT($C$3-2*V$3-$E7)*FACT($E7+V$3))*($C$10^V$3)*($C$9^($C$3-2*V$3-$E7))*($C$8^($E7+V$3)))),FACT($C$3)/(FACT(V$3)*FACT($C$3-2*V$3-$E7)*FACT($E7+V$3))*($C$10^V$3)*($C$9^($C$3-2*V$3-$E7))*($C$8^($E7+V$3)),0)</f>
        <v>0</v>
      </c>
      <c r="W7" s="5">
        <f>IF(NOT(ISERR(FACT($C$3)/(FACT(W$3)*FACT($C$3-2*W$3-$E7)*FACT($E7+W$3))*($C$10^W$3)*($C$9^($C$3-2*W$3-$E7))*($C$8^($E7+W$3)))),FACT($C$3)/(FACT(W$3)*FACT($C$3-2*W$3-$E7)*FACT($E7+W$3))*($C$10^W$3)*($C$9^($C$3-2*W$3-$E7))*($C$8^($E7+W$3)),0)</f>
        <v>0</v>
      </c>
    </row>
    <row r="8" spans="2:23" x14ac:dyDescent="0.25">
      <c r="B8" s="4" t="s">
        <v>8</v>
      </c>
      <c r="C8" s="5">
        <f>(11-C4)/10</f>
        <v>0.5</v>
      </c>
      <c r="E8" s="4">
        <f t="shared" si="2"/>
        <v>-4</v>
      </c>
      <c r="F8" s="6">
        <f t="shared" si="1"/>
        <v>3.2060000000000026E-4</v>
      </c>
      <c r="G8" s="1"/>
      <c r="H8" s="5">
        <f>IF(NOT(ISERR(FACT($C$3)/(FACT(H$3)*FACT($C$3-2*H$3-$E8)*FACT($E8+H$3))*($C$10^H$3)*($C$9^($C$3-2*H$3-$E8))*($C$8^($E8+H$3)))),FACT($C$3)/(FACT(H$3)*FACT($C$3-2*H$3-$E8)*FACT($E8+H$3))*($C$10^H$3)*($C$9^($C$3-2*H$3-$E8))*($C$8^($E8+H$3)),0)</f>
        <v>0</v>
      </c>
      <c r="I8" s="5">
        <f>IF(NOT(ISERR(FACT($C$3)/(FACT(I$3)*FACT($C$3-2*I$3-$E8)*FACT($E8+I$3))*($C$10^I$3)*($C$9^($C$3-2*I$3-$E8))*($C$8^($E8+I$3)))),FACT($C$3)/(FACT(I$3)*FACT($C$3-2*I$3-$E8)*FACT($E8+I$3))*($C$10^I$3)*($C$9^($C$3-2*I$3-$E8))*($C$8^($E8+I$3)),0)</f>
        <v>0</v>
      </c>
      <c r="J8" s="5">
        <f>IF(NOT(ISERR(FACT($C$3)/(FACT(J$3)*FACT($C$3-2*J$3-$E8)*FACT($E8+J$3))*($C$10^J$3)*($C$9^($C$3-2*J$3-$E8))*($C$8^($E8+J$3)))),FACT($C$3)/(FACT(J$3)*FACT($C$3-2*J$3-$E8)*FACT($E8+J$3))*($C$10^J$3)*($C$9^($C$3-2*J$3-$E8))*($C$8^($E8+J$3)),0)</f>
        <v>0</v>
      </c>
      <c r="K8" s="5">
        <f>IF(NOT(ISERR(FACT($C$3)/(FACT(K$3)*FACT($C$3-2*K$3-$E8)*FACT($E8+K$3))*($C$10^K$3)*($C$9^($C$3-2*K$3-$E8))*($C$8^($E8+K$3)))),FACT($C$3)/(FACT(K$3)*FACT($C$3-2*K$3-$E8)*FACT($E8+K$3))*($C$10^K$3)*($C$9^($C$3-2*K$3-$E8))*($C$8^($E8+K$3)),0)</f>
        <v>0</v>
      </c>
      <c r="L8" s="5">
        <f>IF(NOT(ISERR(FACT($C$3)/(FACT(L$3)*FACT($C$3-2*L$3-$E8)*FACT($E8+L$3))*($C$10^L$3)*($C$9^($C$3-2*L$3-$E8))*($C$8^($E8+L$3)))),FACT($C$3)/(FACT(L$3)*FACT($C$3-2*L$3-$E8)*FACT($E8+L$3))*($C$10^L$3)*($C$9^($C$3-2*L$3-$E8))*($C$8^($E8+L$3)),0)</f>
        <v>1.7920000000000015E-4</v>
      </c>
      <c r="M8" s="5">
        <f>IF(NOT(ISERR(FACT($C$3)/(FACT(M$3)*FACT($C$3-2*M$3-$E8)*FACT($E8+M$3))*($C$10^M$3)*($C$9^($C$3-2*M$3-$E8))*($C$8^($E8+M$3)))),FACT($C$3)/(FACT(M$3)*FACT($C$3-2*M$3-$E8)*FACT($E8+M$3))*($C$10^M$3)*($C$9^($C$3-2*M$3-$E8))*($C$8^($E8+M$3)),0)</f>
        <v>1.344000000000001E-4</v>
      </c>
      <c r="N8" s="5">
        <f>IF(NOT(ISERR(FACT($C$3)/(FACT(N$3)*FACT($C$3-2*N$3-$E8)*FACT($E8+N$3))*($C$10^N$3)*($C$9^($C$3-2*N$3-$E8))*($C$8^($E8+N$3)))),FACT($C$3)/(FACT(N$3)*FACT($C$3-2*N$3-$E8)*FACT($E8+N$3))*($C$10^N$3)*($C$9^($C$3-2*N$3-$E8))*($C$8^($E8+N$3)),0)</f>
        <v>7.0000000000000041E-6</v>
      </c>
      <c r="O8" s="5">
        <f>IF(NOT(ISERR(FACT($C$3)/(FACT(O$3)*FACT($C$3-2*O$3-$E8)*FACT($E8+O$3))*($C$10^O$3)*($C$9^($C$3-2*O$3-$E8))*($C$8^($E8+O$3)))),FACT($C$3)/(FACT(O$3)*FACT($C$3-2*O$3-$E8)*FACT($E8+O$3))*($C$10^O$3)*($C$9^($C$3-2*O$3-$E8))*($C$8^($E8+O$3)),0)</f>
        <v>0</v>
      </c>
      <c r="P8" s="5">
        <f>IF(NOT(ISERR(FACT($C$3)/(FACT(P$3)*FACT($C$3-2*P$3-$E8)*FACT($E8+P$3))*($C$10^P$3)*($C$9^($C$3-2*P$3-$E8))*($C$8^($E8+P$3)))),FACT($C$3)/(FACT(P$3)*FACT($C$3-2*P$3-$E8)*FACT($E8+P$3))*($C$10^P$3)*($C$9^($C$3-2*P$3-$E8))*($C$8^($E8+P$3)),0)</f>
        <v>0</v>
      </c>
      <c r="Q8" s="5">
        <f>IF(NOT(ISERR(FACT($C$3)/(FACT(Q$3)*FACT($C$3-2*Q$3-$E8)*FACT($E8+Q$3))*($C$10^Q$3)*($C$9^($C$3-2*Q$3-$E8))*($C$8^($E8+Q$3)))),FACT($C$3)/(FACT(Q$3)*FACT($C$3-2*Q$3-$E8)*FACT($E8+Q$3))*($C$10^Q$3)*($C$9^($C$3-2*Q$3-$E8))*($C$8^($E8+Q$3)),0)</f>
        <v>0</v>
      </c>
      <c r="R8" s="5">
        <f>IF(NOT(ISERR(FACT($C$3)/(FACT(R$3)*FACT($C$3-2*R$3-$E8)*FACT($E8+R$3))*($C$10^R$3)*($C$9^($C$3-2*R$3-$E8))*($C$8^($E8+R$3)))),FACT($C$3)/(FACT(R$3)*FACT($C$3-2*R$3-$E8)*FACT($E8+R$3))*($C$10^R$3)*($C$9^($C$3-2*R$3-$E8))*($C$8^($E8+R$3)),0)</f>
        <v>0</v>
      </c>
      <c r="S8" s="5">
        <f>IF(NOT(ISERR(FACT($C$3)/(FACT(S$3)*FACT($C$3-2*S$3-$E8)*FACT($E8+S$3))*($C$10^S$3)*($C$9^($C$3-2*S$3-$E8))*($C$8^($E8+S$3)))),FACT($C$3)/(FACT(S$3)*FACT($C$3-2*S$3-$E8)*FACT($E8+S$3))*($C$10^S$3)*($C$9^($C$3-2*S$3-$E8))*($C$8^($E8+S$3)),0)</f>
        <v>0</v>
      </c>
      <c r="T8" s="5">
        <f>IF(NOT(ISERR(FACT($C$3)/(FACT(T$3)*FACT($C$3-2*T$3-$E8)*FACT($E8+T$3))*($C$10^T$3)*($C$9^($C$3-2*T$3-$E8))*($C$8^($E8+T$3)))),FACT($C$3)/(FACT(T$3)*FACT($C$3-2*T$3-$E8)*FACT($E8+T$3))*($C$10^T$3)*($C$9^($C$3-2*T$3-$E8))*($C$8^($E8+T$3)),0)</f>
        <v>0</v>
      </c>
      <c r="U8" s="5">
        <f>IF(NOT(ISERR(FACT($C$3)/(FACT(U$3)*FACT($C$3-2*U$3-$E8)*FACT($E8+U$3))*($C$10^U$3)*($C$9^($C$3-2*U$3-$E8))*($C$8^($E8+U$3)))),FACT($C$3)/(FACT(U$3)*FACT($C$3-2*U$3-$E8)*FACT($E8+U$3))*($C$10^U$3)*($C$9^($C$3-2*U$3-$E8))*($C$8^($E8+U$3)),0)</f>
        <v>0</v>
      </c>
      <c r="V8" s="5">
        <f>IF(NOT(ISERR(FACT($C$3)/(FACT(V$3)*FACT($C$3-2*V$3-$E8)*FACT($E8+V$3))*($C$10^V$3)*($C$9^($C$3-2*V$3-$E8))*($C$8^($E8+V$3)))),FACT($C$3)/(FACT(V$3)*FACT($C$3-2*V$3-$E8)*FACT($E8+V$3))*($C$10^V$3)*($C$9^($C$3-2*V$3-$E8))*($C$8^($E8+V$3)),0)</f>
        <v>0</v>
      </c>
      <c r="W8" s="5">
        <f>IF(NOT(ISERR(FACT($C$3)/(FACT(W$3)*FACT($C$3-2*W$3-$E8)*FACT($E8+W$3))*($C$10^W$3)*($C$9^($C$3-2*W$3-$E8))*($C$8^($E8+W$3)))),FACT($C$3)/(FACT(W$3)*FACT($C$3-2*W$3-$E8)*FACT($E8+W$3))*($C$10^W$3)*($C$9^($C$3-2*W$3-$E8))*($C$8^($E8+W$3)),0)</f>
        <v>0</v>
      </c>
    </row>
    <row r="9" spans="2:23" x14ac:dyDescent="0.25">
      <c r="B9" s="4" t="s">
        <v>9</v>
      </c>
      <c r="C9" s="5">
        <f>(C4-2)/10</f>
        <v>0.4</v>
      </c>
      <c r="E9" s="4">
        <f t="shared" si="2"/>
        <v>-3</v>
      </c>
      <c r="F9" s="6">
        <f t="shared" si="1"/>
        <v>1.6374400000000013E-3</v>
      </c>
      <c r="G9" s="1"/>
      <c r="H9" s="5">
        <f>IF(NOT(ISERR(FACT($C$3)/(FACT(H$3)*FACT($C$3-2*H$3-$E9)*FACT($E9+H$3))*($C$10^H$3)*($C$9^($C$3-2*H$3-$E9))*($C$8^($E9+H$3)))),FACT($C$3)/(FACT(H$3)*FACT($C$3-2*H$3-$E9)*FACT($E9+H$3))*($C$10^H$3)*($C$9^($C$3-2*H$3-$E9))*($C$8^($E9+H$3)),0)</f>
        <v>0</v>
      </c>
      <c r="I9" s="5">
        <f>IF(NOT(ISERR(FACT($C$3)/(FACT(I$3)*FACT($C$3-2*I$3-$E9)*FACT($E9+I$3))*($C$10^I$3)*($C$9^($C$3-2*I$3-$E9))*($C$8^($E9+I$3)))),FACT($C$3)/(FACT(I$3)*FACT($C$3-2*I$3-$E9)*FACT($E9+I$3))*($C$10^I$3)*($C$9^($C$3-2*I$3-$E9))*($C$8^($E9+I$3)),0)</f>
        <v>0</v>
      </c>
      <c r="J9" s="5">
        <f>IF(NOT(ISERR(FACT($C$3)/(FACT(J$3)*FACT($C$3-2*J$3-$E9)*FACT($E9+J$3))*($C$10^J$3)*($C$9^($C$3-2*J$3-$E9))*($C$8^($E9+J$3)))),FACT($C$3)/(FACT(J$3)*FACT($C$3-2*J$3-$E9)*FACT($E9+J$3))*($C$10^J$3)*($C$9^($C$3-2*J$3-$E9))*($C$8^($E9+J$3)),0)</f>
        <v>0</v>
      </c>
      <c r="K9" s="5">
        <f>IF(NOT(ISERR(FACT($C$3)/(FACT(K$3)*FACT($C$3-2*K$3-$E9)*FACT($E9+K$3))*($C$10^K$3)*($C$9^($C$3-2*K$3-$E9))*($C$8^($E9+K$3)))),FACT($C$3)/(FACT(K$3)*FACT($C$3-2*K$3-$E9)*FACT($E9+K$3))*($C$10^K$3)*($C$9^($C$3-2*K$3-$E9))*($C$8^($E9+K$3)),0)</f>
        <v>5.7344000000000047E-4</v>
      </c>
      <c r="L9" s="5">
        <f>IF(NOT(ISERR(FACT($C$3)/(FACT(L$3)*FACT($C$3-2*L$3-$E9)*FACT($E9+L$3))*($C$10^L$3)*($C$9^($C$3-2*L$3-$E9))*($C$8^($E9+L$3)))),FACT($C$3)/(FACT(L$3)*FACT($C$3-2*L$3-$E9)*FACT($E9+L$3))*($C$10^L$3)*($C$9^($C$3-2*L$3-$E9))*($C$8^($E9+L$3)),0)</f>
        <v>8.9600000000000053E-4</v>
      </c>
      <c r="M9" s="5">
        <f>IF(NOT(ISERR(FACT($C$3)/(FACT(M$3)*FACT($C$3-2*M$3-$E9)*FACT($E9+M$3))*($C$10^M$3)*($C$9^($C$3-2*M$3-$E9))*($C$8^($E9+M$3)))),FACT($C$3)/(FACT(M$3)*FACT($C$3-2*M$3-$E9)*FACT($E9+M$3))*($C$10^M$3)*($C$9^($C$3-2*M$3-$E9))*($C$8^($E9+M$3)),0)</f>
        <v>1.680000000000001E-4</v>
      </c>
      <c r="N9" s="5">
        <f>IF(NOT(ISERR(FACT($C$3)/(FACT(N$3)*FACT($C$3-2*N$3-$E9)*FACT($E9+N$3))*($C$10^N$3)*($C$9^($C$3-2*N$3-$E9))*($C$8^($E9+N$3)))),FACT($C$3)/(FACT(N$3)*FACT($C$3-2*N$3-$E9)*FACT($E9+N$3))*($C$10^N$3)*($C$9^($C$3-2*N$3-$E9))*($C$8^($E9+N$3)),0)</f>
        <v>0</v>
      </c>
      <c r="O9" s="5">
        <f>IF(NOT(ISERR(FACT($C$3)/(FACT(O$3)*FACT($C$3-2*O$3-$E9)*FACT($E9+O$3))*($C$10^O$3)*($C$9^($C$3-2*O$3-$E9))*($C$8^($E9+O$3)))),FACT($C$3)/(FACT(O$3)*FACT($C$3-2*O$3-$E9)*FACT($E9+O$3))*($C$10^O$3)*($C$9^($C$3-2*O$3-$E9))*($C$8^($E9+O$3)),0)</f>
        <v>0</v>
      </c>
      <c r="P9" s="5">
        <f>IF(NOT(ISERR(FACT($C$3)/(FACT(P$3)*FACT($C$3-2*P$3-$E9)*FACT($E9+P$3))*($C$10^P$3)*($C$9^($C$3-2*P$3-$E9))*($C$8^($E9+P$3)))),FACT($C$3)/(FACT(P$3)*FACT($C$3-2*P$3-$E9)*FACT($E9+P$3))*($C$10^P$3)*($C$9^($C$3-2*P$3-$E9))*($C$8^($E9+P$3)),0)</f>
        <v>0</v>
      </c>
      <c r="Q9" s="5">
        <f>IF(NOT(ISERR(FACT($C$3)/(FACT(Q$3)*FACT($C$3-2*Q$3-$E9)*FACT($E9+Q$3))*($C$10^Q$3)*($C$9^($C$3-2*Q$3-$E9))*($C$8^($E9+Q$3)))),FACT($C$3)/(FACT(Q$3)*FACT($C$3-2*Q$3-$E9)*FACT($E9+Q$3))*($C$10^Q$3)*($C$9^($C$3-2*Q$3-$E9))*($C$8^($E9+Q$3)),0)</f>
        <v>0</v>
      </c>
      <c r="R9" s="5">
        <f>IF(NOT(ISERR(FACT($C$3)/(FACT(R$3)*FACT($C$3-2*R$3-$E9)*FACT($E9+R$3))*($C$10^R$3)*($C$9^($C$3-2*R$3-$E9))*($C$8^($E9+R$3)))),FACT($C$3)/(FACT(R$3)*FACT($C$3-2*R$3-$E9)*FACT($E9+R$3))*($C$10^R$3)*($C$9^($C$3-2*R$3-$E9))*($C$8^($E9+R$3)),0)</f>
        <v>0</v>
      </c>
      <c r="S9" s="5">
        <f>IF(NOT(ISERR(FACT($C$3)/(FACT(S$3)*FACT($C$3-2*S$3-$E9)*FACT($E9+S$3))*($C$10^S$3)*($C$9^($C$3-2*S$3-$E9))*($C$8^($E9+S$3)))),FACT($C$3)/(FACT(S$3)*FACT($C$3-2*S$3-$E9)*FACT($E9+S$3))*($C$10^S$3)*($C$9^($C$3-2*S$3-$E9))*($C$8^($E9+S$3)),0)</f>
        <v>0</v>
      </c>
      <c r="T9" s="5">
        <f>IF(NOT(ISERR(FACT($C$3)/(FACT(T$3)*FACT($C$3-2*T$3-$E9)*FACT($E9+T$3))*($C$10^T$3)*($C$9^($C$3-2*T$3-$E9))*($C$8^($E9+T$3)))),FACT($C$3)/(FACT(T$3)*FACT($C$3-2*T$3-$E9)*FACT($E9+T$3))*($C$10^T$3)*($C$9^($C$3-2*T$3-$E9))*($C$8^($E9+T$3)),0)</f>
        <v>0</v>
      </c>
      <c r="U9" s="5">
        <f>IF(NOT(ISERR(FACT($C$3)/(FACT(U$3)*FACT($C$3-2*U$3-$E9)*FACT($E9+U$3))*($C$10^U$3)*($C$9^($C$3-2*U$3-$E9))*($C$8^($E9+U$3)))),FACT($C$3)/(FACT(U$3)*FACT($C$3-2*U$3-$E9)*FACT($E9+U$3))*($C$10^U$3)*($C$9^($C$3-2*U$3-$E9))*($C$8^($E9+U$3)),0)</f>
        <v>0</v>
      </c>
      <c r="V9" s="5">
        <f>IF(NOT(ISERR(FACT($C$3)/(FACT(V$3)*FACT($C$3-2*V$3-$E9)*FACT($E9+V$3))*($C$10^V$3)*($C$9^($C$3-2*V$3-$E9))*($C$8^($E9+V$3)))),FACT($C$3)/(FACT(V$3)*FACT($C$3-2*V$3-$E9)*FACT($E9+V$3))*($C$10^V$3)*($C$9^($C$3-2*V$3-$E9))*($C$8^($E9+V$3)),0)</f>
        <v>0</v>
      </c>
      <c r="W9" s="5">
        <f>IF(NOT(ISERR(FACT($C$3)/(FACT(W$3)*FACT($C$3-2*W$3-$E9)*FACT($E9+W$3))*($C$10^W$3)*($C$9^($C$3-2*W$3-$E9))*($C$8^($E9+W$3)))),FACT($C$3)/(FACT(W$3)*FACT($C$3-2*W$3-$E9)*FACT($E9+W$3))*($C$10^W$3)*($C$9^($C$3-2*W$3-$E9))*($C$8^($E9+W$3)),0)</f>
        <v>0</v>
      </c>
    </row>
    <row r="10" spans="2:23" x14ac:dyDescent="0.25">
      <c r="B10" s="4" t="s">
        <v>12</v>
      </c>
      <c r="C10" s="5">
        <f>1/10</f>
        <v>0.1</v>
      </c>
      <c r="E10" s="4">
        <f t="shared" si="2"/>
        <v>-2</v>
      </c>
      <c r="F10" s="6">
        <f t="shared" si="1"/>
        <v>6.480880000000004E-3</v>
      </c>
      <c r="G10" s="1"/>
      <c r="H10" s="5">
        <f>IF(NOT(ISERR(FACT($C$3)/(FACT(H$3)*FACT($C$3-2*H$3-$E10)*FACT($E10+H$3))*($C$10^H$3)*($C$9^($C$3-2*H$3-$E10))*($C$8^($E10+H$3)))),FACT($C$3)/(FACT(H$3)*FACT($C$3-2*H$3-$E10)*FACT($E10+H$3))*($C$10^H$3)*($C$9^($C$3-2*H$3-$E10))*($C$8^($E10+H$3)),0)</f>
        <v>0</v>
      </c>
      <c r="I10" s="5">
        <f>IF(NOT(ISERR(FACT($C$3)/(FACT(I$3)*FACT($C$3-2*I$3-$E10)*FACT($E10+I$3))*($C$10^I$3)*($C$9^($C$3-2*I$3-$E10))*($C$8^($E10+I$3)))),FACT($C$3)/(FACT(I$3)*FACT($C$3-2*I$3-$E10)*FACT($E10+I$3))*($C$10^I$3)*($C$9^($C$3-2*I$3-$E10))*($C$8^($E10+I$3)),0)</f>
        <v>0</v>
      </c>
      <c r="J10" s="5">
        <f>IF(NOT(ISERR(FACT($C$3)/(FACT(J$3)*FACT($C$3-2*J$3-$E10)*FACT($E10+J$3))*($C$10^J$3)*($C$9^($C$3-2*J$3-$E10))*($C$8^($E10+J$3)))),FACT($C$3)/(FACT(J$3)*FACT($C$3-2*J$3-$E10)*FACT($E10+J$3))*($C$10^J$3)*($C$9^($C$3-2*J$3-$E10))*($C$8^($E10+J$3)),0)</f>
        <v>1.1468800000000007E-3</v>
      </c>
      <c r="K10" s="5">
        <f>IF(NOT(ISERR(FACT($C$3)/(FACT(K$3)*FACT($C$3-2*K$3-$E10)*FACT($E10+K$3))*($C$10^K$3)*($C$9^($C$3-2*K$3-$E10))*($C$8^($E10+K$3)))),FACT($C$3)/(FACT(K$3)*FACT($C$3-2*K$3-$E10)*FACT($E10+K$3))*($C$10^K$3)*($C$9^($C$3-2*K$3-$E10))*($C$8^($E10+K$3)),0)</f>
        <v>3.5840000000000025E-3</v>
      </c>
      <c r="L10" s="5">
        <f>IF(NOT(ISERR(FACT($C$3)/(FACT(L$3)*FACT($C$3-2*L$3-$E10)*FACT($E10+L$3))*($C$10^L$3)*($C$9^($C$3-2*L$3-$E10))*($C$8^($E10+L$3)))),FACT($C$3)/(FACT(L$3)*FACT($C$3-2*L$3-$E10)*FACT($E10+L$3))*($C$10^L$3)*($C$9^($C$3-2*L$3-$E10))*($C$8^($E10+L$3)),0)</f>
        <v>1.6800000000000009E-3</v>
      </c>
      <c r="M10" s="5">
        <f>IF(NOT(ISERR(FACT($C$3)/(FACT(M$3)*FACT($C$3-2*M$3-$E10)*FACT($E10+M$3))*($C$10^M$3)*($C$9^($C$3-2*M$3-$E10))*($C$8^($E10+M$3)))),FACT($C$3)/(FACT(M$3)*FACT($C$3-2*M$3-$E10)*FACT($E10+M$3))*($C$10^M$3)*($C$9^($C$3-2*M$3-$E10))*($C$8^($E10+M$3)),0)</f>
        <v>7.0000000000000048E-5</v>
      </c>
      <c r="N10" s="5">
        <f>IF(NOT(ISERR(FACT($C$3)/(FACT(N$3)*FACT($C$3-2*N$3-$E10)*FACT($E10+N$3))*($C$10^N$3)*($C$9^($C$3-2*N$3-$E10))*($C$8^($E10+N$3)))),FACT($C$3)/(FACT(N$3)*FACT($C$3-2*N$3-$E10)*FACT($E10+N$3))*($C$10^N$3)*($C$9^($C$3-2*N$3-$E10))*($C$8^($E10+N$3)),0)</f>
        <v>0</v>
      </c>
      <c r="O10" s="5">
        <f>IF(NOT(ISERR(FACT($C$3)/(FACT(O$3)*FACT($C$3-2*O$3-$E10)*FACT($E10+O$3))*($C$10^O$3)*($C$9^($C$3-2*O$3-$E10))*($C$8^($E10+O$3)))),FACT($C$3)/(FACT(O$3)*FACT($C$3-2*O$3-$E10)*FACT($E10+O$3))*($C$10^O$3)*($C$9^($C$3-2*O$3-$E10))*($C$8^($E10+O$3)),0)</f>
        <v>0</v>
      </c>
      <c r="P10" s="5">
        <f>IF(NOT(ISERR(FACT($C$3)/(FACT(P$3)*FACT($C$3-2*P$3-$E10)*FACT($E10+P$3))*($C$10^P$3)*($C$9^($C$3-2*P$3-$E10))*($C$8^($E10+P$3)))),FACT($C$3)/(FACT(P$3)*FACT($C$3-2*P$3-$E10)*FACT($E10+P$3))*($C$10^P$3)*($C$9^($C$3-2*P$3-$E10))*($C$8^($E10+P$3)),0)</f>
        <v>0</v>
      </c>
      <c r="Q10" s="5">
        <f>IF(NOT(ISERR(FACT($C$3)/(FACT(Q$3)*FACT($C$3-2*Q$3-$E10)*FACT($E10+Q$3))*($C$10^Q$3)*($C$9^($C$3-2*Q$3-$E10))*($C$8^($E10+Q$3)))),FACT($C$3)/(FACT(Q$3)*FACT($C$3-2*Q$3-$E10)*FACT($E10+Q$3))*($C$10^Q$3)*($C$9^($C$3-2*Q$3-$E10))*($C$8^($E10+Q$3)),0)</f>
        <v>0</v>
      </c>
      <c r="R10" s="5">
        <f>IF(NOT(ISERR(FACT($C$3)/(FACT(R$3)*FACT($C$3-2*R$3-$E10)*FACT($E10+R$3))*($C$10^R$3)*($C$9^($C$3-2*R$3-$E10))*($C$8^($E10+R$3)))),FACT($C$3)/(FACT(R$3)*FACT($C$3-2*R$3-$E10)*FACT($E10+R$3))*($C$10^R$3)*($C$9^($C$3-2*R$3-$E10))*($C$8^($E10+R$3)),0)</f>
        <v>0</v>
      </c>
      <c r="S10" s="5">
        <f>IF(NOT(ISERR(FACT($C$3)/(FACT(S$3)*FACT($C$3-2*S$3-$E10)*FACT($E10+S$3))*($C$10^S$3)*($C$9^($C$3-2*S$3-$E10))*($C$8^($E10+S$3)))),FACT($C$3)/(FACT(S$3)*FACT($C$3-2*S$3-$E10)*FACT($E10+S$3))*($C$10^S$3)*($C$9^($C$3-2*S$3-$E10))*($C$8^($E10+S$3)),0)</f>
        <v>0</v>
      </c>
      <c r="T10" s="5">
        <f>IF(NOT(ISERR(FACT($C$3)/(FACT(T$3)*FACT($C$3-2*T$3-$E10)*FACT($E10+T$3))*($C$10^T$3)*($C$9^($C$3-2*T$3-$E10))*($C$8^($E10+T$3)))),FACT($C$3)/(FACT(T$3)*FACT($C$3-2*T$3-$E10)*FACT($E10+T$3))*($C$10^T$3)*($C$9^($C$3-2*T$3-$E10))*($C$8^($E10+T$3)),0)</f>
        <v>0</v>
      </c>
      <c r="U10" s="5">
        <f>IF(NOT(ISERR(FACT($C$3)/(FACT(U$3)*FACT($C$3-2*U$3-$E10)*FACT($E10+U$3))*($C$10^U$3)*($C$9^($C$3-2*U$3-$E10))*($C$8^($E10+U$3)))),FACT($C$3)/(FACT(U$3)*FACT($C$3-2*U$3-$E10)*FACT($E10+U$3))*($C$10^U$3)*($C$9^($C$3-2*U$3-$E10))*($C$8^($E10+U$3)),0)</f>
        <v>0</v>
      </c>
      <c r="V10" s="5">
        <f>IF(NOT(ISERR(FACT($C$3)/(FACT(V$3)*FACT($C$3-2*V$3-$E10)*FACT($E10+V$3))*($C$10^V$3)*($C$9^($C$3-2*V$3-$E10))*($C$8^($E10+V$3)))),FACT($C$3)/(FACT(V$3)*FACT($C$3-2*V$3-$E10)*FACT($E10+V$3))*($C$10^V$3)*($C$9^($C$3-2*V$3-$E10))*($C$8^($E10+V$3)),0)</f>
        <v>0</v>
      </c>
      <c r="W10" s="5">
        <f>IF(NOT(ISERR(FACT($C$3)/(FACT(W$3)*FACT($C$3-2*W$3-$E10)*FACT($E10+W$3))*($C$10^W$3)*($C$9^($C$3-2*W$3-$E10))*($C$8^($E10+W$3)))),FACT($C$3)/(FACT(W$3)*FACT($C$3-2*W$3-$E10)*FACT($E10+W$3))*($C$10^W$3)*($C$9^($C$3-2*W$3-$E10))*($C$8^($E10+W$3)),0)</f>
        <v>0</v>
      </c>
    </row>
    <row r="11" spans="2:23" x14ac:dyDescent="0.25">
      <c r="B11" s="4" t="s">
        <v>10</v>
      </c>
      <c r="C11" s="5">
        <f>SUM(C8:C10)</f>
        <v>1</v>
      </c>
      <c r="E11" s="4">
        <f t="shared" si="2"/>
        <v>-1</v>
      </c>
      <c r="F11" s="6">
        <f t="shared" si="1"/>
        <v>2.0272320000000014E-2</v>
      </c>
      <c r="G11" s="1"/>
      <c r="H11" s="5">
        <f>IF(NOT(ISERR(FACT($C$3)/(FACT(H$3)*FACT($C$3-2*H$3-$E11)*FACT($E11+H$3))*($C$10^H$3)*($C$9^($C$3-2*H$3-$E11))*($C$8^($E11+H$3)))),FACT($C$3)/(FACT(H$3)*FACT($C$3-2*H$3-$E11)*FACT($E11+H$3))*($C$10^H$3)*($C$9^($C$3-2*H$3-$E11))*($C$8^($E11+H$3)),0)</f>
        <v>0</v>
      </c>
      <c r="I11" s="5">
        <f>IF(NOT(ISERR(FACT($C$3)/(FACT(I$3)*FACT($C$3-2*I$3-$E11)*FACT($E11+I$3))*($C$10^I$3)*($C$9^($C$3-2*I$3-$E11))*($C$8^($E11+I$3)))),FACT($C$3)/(FACT(I$3)*FACT($C$3-2*I$3-$E11)*FACT($E11+I$3))*($C$10^I$3)*($C$9^($C$3-2*I$3-$E11))*($C$8^($E11+I$3)),0)</f>
        <v>1.3107200000000011E-3</v>
      </c>
      <c r="J11" s="5">
        <f>IF(NOT(ISERR(FACT($C$3)/(FACT(J$3)*FACT($C$3-2*J$3-$E11)*FACT($E11+J$3))*($C$10^J$3)*($C$9^($C$3-2*J$3-$E11))*($C$8^($E11+J$3)))),FACT($C$3)/(FACT(J$3)*FACT($C$3-2*J$3-$E11)*FACT($E11+J$3))*($C$10^J$3)*($C$9^($C$3-2*J$3-$E11))*($C$8^($E11+J$3)),0)</f>
        <v>8.6016000000000079E-3</v>
      </c>
      <c r="K11" s="5">
        <f>IF(NOT(ISERR(FACT($C$3)/(FACT(K$3)*FACT($C$3-2*K$3-$E11)*FACT($E11+K$3))*($C$10^K$3)*($C$9^($C$3-2*K$3-$E11))*($C$8^($E11+K$3)))),FACT($C$3)/(FACT(K$3)*FACT($C$3-2*K$3-$E11)*FACT($E11+K$3))*($C$10^K$3)*($C$9^($C$3-2*K$3-$E11))*($C$8^($E11+K$3)),0)</f>
        <v>8.9600000000000044E-3</v>
      </c>
      <c r="L11" s="5">
        <f>IF(NOT(ISERR(FACT($C$3)/(FACT(L$3)*FACT($C$3-2*L$3-$E11)*FACT($E11+L$3))*($C$10^L$3)*($C$9^($C$3-2*L$3-$E11))*($C$8^($E11+L$3)))),FACT($C$3)/(FACT(L$3)*FACT($C$3-2*L$3-$E11)*FACT($E11+L$3))*($C$10^L$3)*($C$9^($C$3-2*L$3-$E11))*($C$8^($E11+L$3)),0)</f>
        <v>1.4000000000000006E-3</v>
      </c>
      <c r="M11" s="5">
        <f>IF(NOT(ISERR(FACT($C$3)/(FACT(M$3)*FACT($C$3-2*M$3-$E11)*FACT($E11+M$3))*($C$10^M$3)*($C$9^($C$3-2*M$3-$E11))*($C$8^($E11+M$3)))),FACT($C$3)/(FACT(M$3)*FACT($C$3-2*M$3-$E11)*FACT($E11+M$3))*($C$10^M$3)*($C$9^($C$3-2*M$3-$E11))*($C$8^($E11+M$3)),0)</f>
        <v>0</v>
      </c>
      <c r="N11" s="5">
        <f>IF(NOT(ISERR(FACT($C$3)/(FACT(N$3)*FACT($C$3-2*N$3-$E11)*FACT($E11+N$3))*($C$10^N$3)*($C$9^($C$3-2*N$3-$E11))*($C$8^($E11+N$3)))),FACT($C$3)/(FACT(N$3)*FACT($C$3-2*N$3-$E11)*FACT($E11+N$3))*($C$10^N$3)*($C$9^($C$3-2*N$3-$E11))*($C$8^($E11+N$3)),0)</f>
        <v>0</v>
      </c>
      <c r="O11" s="5">
        <f>IF(NOT(ISERR(FACT($C$3)/(FACT(O$3)*FACT($C$3-2*O$3-$E11)*FACT($E11+O$3))*($C$10^O$3)*($C$9^($C$3-2*O$3-$E11))*($C$8^($E11+O$3)))),FACT($C$3)/(FACT(O$3)*FACT($C$3-2*O$3-$E11)*FACT($E11+O$3))*($C$10^O$3)*($C$9^($C$3-2*O$3-$E11))*($C$8^($E11+O$3)),0)</f>
        <v>0</v>
      </c>
      <c r="P11" s="5">
        <f>IF(NOT(ISERR(FACT($C$3)/(FACT(P$3)*FACT($C$3-2*P$3-$E11)*FACT($E11+P$3))*($C$10^P$3)*($C$9^($C$3-2*P$3-$E11))*($C$8^($E11+P$3)))),FACT($C$3)/(FACT(P$3)*FACT($C$3-2*P$3-$E11)*FACT($E11+P$3))*($C$10^P$3)*($C$9^($C$3-2*P$3-$E11))*($C$8^($E11+P$3)),0)</f>
        <v>0</v>
      </c>
      <c r="Q11" s="5">
        <f>IF(NOT(ISERR(FACT($C$3)/(FACT(Q$3)*FACT($C$3-2*Q$3-$E11)*FACT($E11+Q$3))*($C$10^Q$3)*($C$9^($C$3-2*Q$3-$E11))*($C$8^($E11+Q$3)))),FACT($C$3)/(FACT(Q$3)*FACT($C$3-2*Q$3-$E11)*FACT($E11+Q$3))*($C$10^Q$3)*($C$9^($C$3-2*Q$3-$E11))*($C$8^($E11+Q$3)),0)</f>
        <v>0</v>
      </c>
      <c r="R11" s="5">
        <f>IF(NOT(ISERR(FACT($C$3)/(FACT(R$3)*FACT($C$3-2*R$3-$E11)*FACT($E11+R$3))*($C$10^R$3)*($C$9^($C$3-2*R$3-$E11))*($C$8^($E11+R$3)))),FACT($C$3)/(FACT(R$3)*FACT($C$3-2*R$3-$E11)*FACT($E11+R$3))*($C$10^R$3)*($C$9^($C$3-2*R$3-$E11))*($C$8^($E11+R$3)),0)</f>
        <v>0</v>
      </c>
      <c r="S11" s="5">
        <f>IF(NOT(ISERR(FACT($C$3)/(FACT(S$3)*FACT($C$3-2*S$3-$E11)*FACT($E11+S$3))*($C$10^S$3)*($C$9^($C$3-2*S$3-$E11))*($C$8^($E11+S$3)))),FACT($C$3)/(FACT(S$3)*FACT($C$3-2*S$3-$E11)*FACT($E11+S$3))*($C$10^S$3)*($C$9^($C$3-2*S$3-$E11))*($C$8^($E11+S$3)),0)</f>
        <v>0</v>
      </c>
      <c r="T11" s="5">
        <f>IF(NOT(ISERR(FACT($C$3)/(FACT(T$3)*FACT($C$3-2*T$3-$E11)*FACT($E11+T$3))*($C$10^T$3)*($C$9^($C$3-2*T$3-$E11))*($C$8^($E11+T$3)))),FACT($C$3)/(FACT(T$3)*FACT($C$3-2*T$3-$E11)*FACT($E11+T$3))*($C$10^T$3)*($C$9^($C$3-2*T$3-$E11))*($C$8^($E11+T$3)),0)</f>
        <v>0</v>
      </c>
      <c r="U11" s="5">
        <f>IF(NOT(ISERR(FACT($C$3)/(FACT(U$3)*FACT($C$3-2*U$3-$E11)*FACT($E11+U$3))*($C$10^U$3)*($C$9^($C$3-2*U$3-$E11))*($C$8^($E11+U$3)))),FACT($C$3)/(FACT(U$3)*FACT($C$3-2*U$3-$E11)*FACT($E11+U$3))*($C$10^U$3)*($C$9^($C$3-2*U$3-$E11))*($C$8^($E11+U$3)),0)</f>
        <v>0</v>
      </c>
      <c r="V11" s="5">
        <f>IF(NOT(ISERR(FACT($C$3)/(FACT(V$3)*FACT($C$3-2*V$3-$E11)*FACT($E11+V$3))*($C$10^V$3)*($C$9^($C$3-2*V$3-$E11))*($C$8^($E11+V$3)))),FACT($C$3)/(FACT(V$3)*FACT($C$3-2*V$3-$E11)*FACT($E11+V$3))*($C$10^V$3)*($C$9^($C$3-2*V$3-$E11))*($C$8^($E11+V$3)),0)</f>
        <v>0</v>
      </c>
      <c r="W11" s="5">
        <f>IF(NOT(ISERR(FACT($C$3)/(FACT(W$3)*FACT($C$3-2*W$3-$E11)*FACT($E11+W$3))*($C$10^W$3)*($C$9^($C$3-2*W$3-$E11))*($C$8^($E11+W$3)))),FACT($C$3)/(FACT(W$3)*FACT($C$3-2*W$3-$E11)*FACT($E11+W$3))*($C$10^W$3)*($C$9^($C$3-2*W$3-$E11))*($C$8^($E11+W$3)),0)</f>
        <v>0</v>
      </c>
    </row>
    <row r="12" spans="2:23" x14ac:dyDescent="0.25">
      <c r="E12" s="4">
        <f t="shared" si="2"/>
        <v>0</v>
      </c>
      <c r="F12" s="6">
        <f t="shared" si="1"/>
        <v>5.0641660000000026E-2</v>
      </c>
      <c r="G12" s="1"/>
      <c r="H12" s="5">
        <f>IF(NOT(ISERR(FACT($C$3)/(FACT(H$3)*FACT($C$3-2*H$3-$E12)*FACT($E12+H$3))*($C$10^H$3)*($C$9^($C$3-2*H$3-$E12))*($C$8^($E12+H$3)))),FACT($C$3)/(FACT(H$3)*FACT($C$3-2*H$3-$E12)*FACT($E12+H$3))*($C$10^H$3)*($C$9^($C$3-2*H$3-$E12))*($C$8^($E12+H$3)),0)</f>
        <v>6.5536000000000056E-4</v>
      </c>
      <c r="I12" s="5">
        <f>IF(NOT(ISERR(FACT($C$3)/(FACT(I$3)*FACT($C$3-2*I$3-$E12)*FACT($E12+I$3))*($C$10^I$3)*($C$9^($C$3-2*I$3-$E12))*($C$8^($E12+I$3)))),FACT($C$3)/(FACT(I$3)*FACT($C$3-2*I$3-$E12)*FACT($E12+I$3))*($C$10^I$3)*($C$9^($C$3-2*I$3-$E12))*($C$8^($E12+I$3)),0)</f>
        <v>1.1468800000000008E-2</v>
      </c>
      <c r="J12" s="5">
        <f>IF(NOT(ISERR(FACT($C$3)/(FACT(J$3)*FACT($C$3-2*J$3-$E12)*FACT($E12+J$3))*($C$10^J$3)*($C$9^($C$3-2*J$3-$E12))*($C$8^($E12+J$3)))),FACT($C$3)/(FACT(J$3)*FACT($C$3-2*J$3-$E12)*FACT($E12+J$3))*($C$10^J$3)*($C$9^($C$3-2*J$3-$E12))*($C$8^($E12+J$3)),0)</f>
        <v>2.6880000000000018E-2</v>
      </c>
      <c r="K12" s="5">
        <f>IF(NOT(ISERR(FACT($C$3)/(FACT(K$3)*FACT($C$3-2*K$3-$E12)*FACT($E12+K$3))*($C$10^K$3)*($C$9^($C$3-2*K$3-$E12))*($C$8^($E12+K$3)))),FACT($C$3)/(FACT(K$3)*FACT($C$3-2*K$3-$E12)*FACT($E12+K$3))*($C$10^K$3)*($C$9^($C$3-2*K$3-$E12))*($C$8^($E12+K$3)),0)</f>
        <v>1.1200000000000005E-2</v>
      </c>
      <c r="L12" s="5">
        <f>IF(NOT(ISERR(FACT($C$3)/(FACT(L$3)*FACT($C$3-2*L$3-$E12)*FACT($E12+L$3))*($C$10^L$3)*($C$9^($C$3-2*L$3-$E12))*($C$8^($E12+L$3)))),FACT($C$3)/(FACT(L$3)*FACT($C$3-2*L$3-$E12)*FACT($E12+L$3))*($C$10^L$3)*($C$9^($C$3-2*L$3-$E12))*($C$8^($E12+L$3)),0)</f>
        <v>4.3750000000000017E-4</v>
      </c>
      <c r="M12" s="5">
        <f>IF(NOT(ISERR(FACT($C$3)/(FACT(M$3)*FACT($C$3-2*M$3-$E12)*FACT($E12+M$3))*($C$10^M$3)*($C$9^($C$3-2*M$3-$E12))*($C$8^($E12+M$3)))),FACT($C$3)/(FACT(M$3)*FACT($C$3-2*M$3-$E12)*FACT($E12+M$3))*($C$10^M$3)*($C$9^($C$3-2*M$3-$E12))*($C$8^($E12+M$3)),0)</f>
        <v>0</v>
      </c>
      <c r="N12" s="5">
        <f>IF(NOT(ISERR(FACT($C$3)/(FACT(N$3)*FACT($C$3-2*N$3-$E12)*FACT($E12+N$3))*($C$10^N$3)*($C$9^($C$3-2*N$3-$E12))*($C$8^($E12+N$3)))),FACT($C$3)/(FACT(N$3)*FACT($C$3-2*N$3-$E12)*FACT($E12+N$3))*($C$10^N$3)*($C$9^($C$3-2*N$3-$E12))*($C$8^($E12+N$3)),0)</f>
        <v>0</v>
      </c>
      <c r="O12" s="5">
        <f>IF(NOT(ISERR(FACT($C$3)/(FACT(O$3)*FACT($C$3-2*O$3-$E12)*FACT($E12+O$3))*($C$10^O$3)*($C$9^($C$3-2*O$3-$E12))*($C$8^($E12+O$3)))),FACT($C$3)/(FACT(O$3)*FACT($C$3-2*O$3-$E12)*FACT($E12+O$3))*($C$10^O$3)*($C$9^($C$3-2*O$3-$E12))*($C$8^($E12+O$3)),0)</f>
        <v>0</v>
      </c>
      <c r="P12" s="5">
        <f>IF(NOT(ISERR(FACT($C$3)/(FACT(P$3)*FACT($C$3-2*P$3-$E12)*FACT($E12+P$3))*($C$10^P$3)*($C$9^($C$3-2*P$3-$E12))*($C$8^($E12+P$3)))),FACT($C$3)/(FACT(P$3)*FACT($C$3-2*P$3-$E12)*FACT($E12+P$3))*($C$10^P$3)*($C$9^($C$3-2*P$3-$E12))*($C$8^($E12+P$3)),0)</f>
        <v>0</v>
      </c>
      <c r="Q12" s="5">
        <f>IF(NOT(ISERR(FACT($C$3)/(FACT(Q$3)*FACT($C$3-2*Q$3-$E12)*FACT($E12+Q$3))*($C$10^Q$3)*($C$9^($C$3-2*Q$3-$E12))*($C$8^($E12+Q$3)))),FACT($C$3)/(FACT(Q$3)*FACT($C$3-2*Q$3-$E12)*FACT($E12+Q$3))*($C$10^Q$3)*($C$9^($C$3-2*Q$3-$E12))*($C$8^($E12+Q$3)),0)</f>
        <v>0</v>
      </c>
      <c r="R12" s="5">
        <f>IF(NOT(ISERR(FACT($C$3)/(FACT(R$3)*FACT($C$3-2*R$3-$E12)*FACT($E12+R$3))*($C$10^R$3)*($C$9^($C$3-2*R$3-$E12))*($C$8^($E12+R$3)))),FACT($C$3)/(FACT(R$3)*FACT($C$3-2*R$3-$E12)*FACT($E12+R$3))*($C$10^R$3)*($C$9^($C$3-2*R$3-$E12))*($C$8^($E12+R$3)),0)</f>
        <v>0</v>
      </c>
      <c r="S12" s="5">
        <f>IF(NOT(ISERR(FACT($C$3)/(FACT(S$3)*FACT($C$3-2*S$3-$E12)*FACT($E12+S$3))*($C$10^S$3)*($C$9^($C$3-2*S$3-$E12))*($C$8^($E12+S$3)))),FACT($C$3)/(FACT(S$3)*FACT($C$3-2*S$3-$E12)*FACT($E12+S$3))*($C$10^S$3)*($C$9^($C$3-2*S$3-$E12))*($C$8^($E12+S$3)),0)</f>
        <v>0</v>
      </c>
      <c r="T12" s="5">
        <f>IF(NOT(ISERR(FACT($C$3)/(FACT(T$3)*FACT($C$3-2*T$3-$E12)*FACT($E12+T$3))*($C$10^T$3)*($C$9^($C$3-2*T$3-$E12))*($C$8^($E12+T$3)))),FACT($C$3)/(FACT(T$3)*FACT($C$3-2*T$3-$E12)*FACT($E12+T$3))*($C$10^T$3)*($C$9^($C$3-2*T$3-$E12))*($C$8^($E12+T$3)),0)</f>
        <v>0</v>
      </c>
      <c r="U12" s="5">
        <f>IF(NOT(ISERR(FACT($C$3)/(FACT(U$3)*FACT($C$3-2*U$3-$E12)*FACT($E12+U$3))*($C$10^U$3)*($C$9^($C$3-2*U$3-$E12))*($C$8^($E12+U$3)))),FACT($C$3)/(FACT(U$3)*FACT($C$3-2*U$3-$E12)*FACT($E12+U$3))*($C$10^U$3)*($C$9^($C$3-2*U$3-$E12))*($C$8^($E12+U$3)),0)</f>
        <v>0</v>
      </c>
      <c r="V12" s="5">
        <f>IF(NOT(ISERR(FACT($C$3)/(FACT(V$3)*FACT($C$3-2*V$3-$E12)*FACT($E12+V$3))*($C$10^V$3)*($C$9^($C$3-2*V$3-$E12))*($C$8^($E12+V$3)))),FACT($C$3)/(FACT(V$3)*FACT($C$3-2*V$3-$E12)*FACT($E12+V$3))*($C$10^V$3)*($C$9^($C$3-2*V$3-$E12))*($C$8^($E12+V$3)),0)</f>
        <v>0</v>
      </c>
      <c r="W12" s="5">
        <f>IF(NOT(ISERR(FACT($C$3)/(FACT(W$3)*FACT($C$3-2*W$3-$E12)*FACT($E12+W$3))*($C$10^W$3)*($C$9^($C$3-2*W$3-$E12))*($C$8^($E12+W$3)))),FACT($C$3)/(FACT(W$3)*FACT($C$3-2*W$3-$E12)*FACT($E12+W$3))*($C$10^W$3)*($C$9^($C$3-2*W$3-$E12))*($C$8^($E12+W$3)),0)</f>
        <v>0</v>
      </c>
    </row>
    <row r="13" spans="2:23" x14ac:dyDescent="0.25">
      <c r="E13" s="4">
        <f t="shared" si="2"/>
        <v>1</v>
      </c>
      <c r="F13" s="6">
        <f t="shared" si="1"/>
        <v>0.10136160000000005</v>
      </c>
      <c r="G13" s="1"/>
      <c r="H13" s="5">
        <f>IF(NOT(ISERR(FACT($C$3)/(FACT(H$3)*FACT($C$3-2*H$3-$E13)*FACT($E13+H$3))*($C$10^H$3)*($C$9^($C$3-2*H$3-$E13))*($C$8^($E13+H$3)))),FACT($C$3)/(FACT(H$3)*FACT($C$3-2*H$3-$E13)*FACT($E13+H$3))*($C$10^H$3)*($C$9^($C$3-2*H$3-$E13))*($C$8^($E13+H$3)),0)</f>
        <v>6.5536000000000049E-3</v>
      </c>
      <c r="I13" s="5">
        <f>IF(NOT(ISERR(FACT($C$3)/(FACT(I$3)*FACT($C$3-2*I$3-$E13)*FACT($E13+I$3))*($C$10^I$3)*($C$9^($C$3-2*I$3-$E13))*($C$8^($E13+I$3)))),FACT($C$3)/(FACT(I$3)*FACT($C$3-2*I$3-$E13)*FACT($E13+I$3))*($C$10^I$3)*($C$9^($C$3-2*I$3-$E13))*($C$8^($E13+I$3)),0)</f>
        <v>4.3008000000000025E-2</v>
      </c>
      <c r="J13" s="5">
        <f>IF(NOT(ISERR(FACT($C$3)/(FACT(J$3)*FACT($C$3-2*J$3-$E13)*FACT($E13+J$3))*($C$10^J$3)*($C$9^($C$3-2*J$3-$E13))*($C$8^($E13+J$3)))),FACT($C$3)/(FACT(J$3)*FACT($C$3-2*J$3-$E13)*FACT($E13+J$3))*($C$10^J$3)*($C$9^($C$3-2*J$3-$E13))*($C$8^($E13+J$3)),0)</f>
        <v>4.480000000000002E-2</v>
      </c>
      <c r="K13" s="5">
        <f>IF(NOT(ISERR(FACT($C$3)/(FACT(K$3)*FACT($C$3-2*K$3-$E13)*FACT($E13+K$3))*($C$10^K$3)*($C$9^($C$3-2*K$3-$E13))*($C$8^($E13+K$3)))),FACT($C$3)/(FACT(K$3)*FACT($C$3-2*K$3-$E13)*FACT($E13+K$3))*($C$10^K$3)*($C$9^($C$3-2*K$3-$E13))*($C$8^($E13+K$3)),0)</f>
        <v>7.0000000000000027E-3</v>
      </c>
      <c r="L13" s="5">
        <f>IF(NOT(ISERR(FACT($C$3)/(FACT(L$3)*FACT($C$3-2*L$3-$E13)*FACT($E13+L$3))*($C$10^L$3)*($C$9^($C$3-2*L$3-$E13))*($C$8^($E13+L$3)))),FACT($C$3)/(FACT(L$3)*FACT($C$3-2*L$3-$E13)*FACT($E13+L$3))*($C$10^L$3)*($C$9^($C$3-2*L$3-$E13))*($C$8^($E13+L$3)),0)</f>
        <v>0</v>
      </c>
      <c r="M13" s="5">
        <f>IF(NOT(ISERR(FACT($C$3)/(FACT(M$3)*FACT($C$3-2*M$3-$E13)*FACT($E13+M$3))*($C$10^M$3)*($C$9^($C$3-2*M$3-$E13))*($C$8^($E13+M$3)))),FACT($C$3)/(FACT(M$3)*FACT($C$3-2*M$3-$E13)*FACT($E13+M$3))*($C$10^M$3)*($C$9^($C$3-2*M$3-$E13))*($C$8^($E13+M$3)),0)</f>
        <v>0</v>
      </c>
      <c r="N13" s="5">
        <f>IF(NOT(ISERR(FACT($C$3)/(FACT(N$3)*FACT($C$3-2*N$3-$E13)*FACT($E13+N$3))*($C$10^N$3)*($C$9^($C$3-2*N$3-$E13))*($C$8^($E13+N$3)))),FACT($C$3)/(FACT(N$3)*FACT($C$3-2*N$3-$E13)*FACT($E13+N$3))*($C$10^N$3)*($C$9^($C$3-2*N$3-$E13))*($C$8^($E13+N$3)),0)</f>
        <v>0</v>
      </c>
      <c r="O13" s="5">
        <f>IF(NOT(ISERR(FACT($C$3)/(FACT(O$3)*FACT($C$3-2*O$3-$E13)*FACT($E13+O$3))*($C$10^O$3)*($C$9^($C$3-2*O$3-$E13))*($C$8^($E13+O$3)))),FACT($C$3)/(FACT(O$3)*FACT($C$3-2*O$3-$E13)*FACT($E13+O$3))*($C$10^O$3)*($C$9^($C$3-2*O$3-$E13))*($C$8^($E13+O$3)),0)</f>
        <v>0</v>
      </c>
      <c r="P13" s="5">
        <f>IF(NOT(ISERR(FACT($C$3)/(FACT(P$3)*FACT($C$3-2*P$3-$E13)*FACT($E13+P$3))*($C$10^P$3)*($C$9^($C$3-2*P$3-$E13))*($C$8^($E13+P$3)))),FACT($C$3)/(FACT(P$3)*FACT($C$3-2*P$3-$E13)*FACT($E13+P$3))*($C$10^P$3)*($C$9^($C$3-2*P$3-$E13))*($C$8^($E13+P$3)),0)</f>
        <v>0</v>
      </c>
      <c r="Q13" s="5">
        <f>IF(NOT(ISERR(FACT($C$3)/(FACT(Q$3)*FACT($C$3-2*Q$3-$E13)*FACT($E13+Q$3))*($C$10^Q$3)*($C$9^($C$3-2*Q$3-$E13))*($C$8^($E13+Q$3)))),FACT($C$3)/(FACT(Q$3)*FACT($C$3-2*Q$3-$E13)*FACT($E13+Q$3))*($C$10^Q$3)*($C$9^($C$3-2*Q$3-$E13))*($C$8^($E13+Q$3)),0)</f>
        <v>0</v>
      </c>
      <c r="R13" s="5">
        <f>IF(NOT(ISERR(FACT($C$3)/(FACT(R$3)*FACT($C$3-2*R$3-$E13)*FACT($E13+R$3))*($C$10^R$3)*($C$9^($C$3-2*R$3-$E13))*($C$8^($E13+R$3)))),FACT($C$3)/(FACT(R$3)*FACT($C$3-2*R$3-$E13)*FACT($E13+R$3))*($C$10^R$3)*($C$9^($C$3-2*R$3-$E13))*($C$8^($E13+R$3)),0)</f>
        <v>0</v>
      </c>
      <c r="S13" s="5">
        <f>IF(NOT(ISERR(FACT($C$3)/(FACT(S$3)*FACT($C$3-2*S$3-$E13)*FACT($E13+S$3))*($C$10^S$3)*($C$9^($C$3-2*S$3-$E13))*($C$8^($E13+S$3)))),FACT($C$3)/(FACT(S$3)*FACT($C$3-2*S$3-$E13)*FACT($E13+S$3))*($C$10^S$3)*($C$9^($C$3-2*S$3-$E13))*($C$8^($E13+S$3)),0)</f>
        <v>0</v>
      </c>
      <c r="T13" s="5">
        <f>IF(NOT(ISERR(FACT($C$3)/(FACT(T$3)*FACT($C$3-2*T$3-$E13)*FACT($E13+T$3))*($C$10^T$3)*($C$9^($C$3-2*T$3-$E13))*($C$8^($E13+T$3)))),FACT($C$3)/(FACT(T$3)*FACT($C$3-2*T$3-$E13)*FACT($E13+T$3))*($C$10^T$3)*($C$9^($C$3-2*T$3-$E13))*($C$8^($E13+T$3)),0)</f>
        <v>0</v>
      </c>
      <c r="U13" s="5">
        <f>IF(NOT(ISERR(FACT($C$3)/(FACT(U$3)*FACT($C$3-2*U$3-$E13)*FACT($E13+U$3))*($C$10^U$3)*($C$9^($C$3-2*U$3-$E13))*($C$8^($E13+U$3)))),FACT($C$3)/(FACT(U$3)*FACT($C$3-2*U$3-$E13)*FACT($E13+U$3))*($C$10^U$3)*($C$9^($C$3-2*U$3-$E13))*($C$8^($E13+U$3)),0)</f>
        <v>0</v>
      </c>
      <c r="V13" s="5">
        <f>IF(NOT(ISERR(FACT($C$3)/(FACT(V$3)*FACT($C$3-2*V$3-$E13)*FACT($E13+V$3))*($C$10^V$3)*($C$9^($C$3-2*V$3-$E13))*($C$8^($E13+V$3)))),FACT($C$3)/(FACT(V$3)*FACT($C$3-2*V$3-$E13)*FACT($E13+V$3))*($C$10^V$3)*($C$9^($C$3-2*V$3-$E13))*($C$8^($E13+V$3)),0)</f>
        <v>0</v>
      </c>
      <c r="W13" s="5">
        <f>IF(NOT(ISERR(FACT($C$3)/(FACT(W$3)*FACT($C$3-2*W$3-$E13)*FACT($E13+W$3))*($C$10^W$3)*($C$9^($C$3-2*W$3-$E13))*($C$8^($E13+W$3)))),FACT($C$3)/(FACT(W$3)*FACT($C$3-2*W$3-$E13)*FACT($E13+W$3))*($C$10^W$3)*($C$9^($C$3-2*W$3-$E13))*($C$8^($E13+W$3)),0)</f>
        <v>0</v>
      </c>
    </row>
    <row r="14" spans="2:23" x14ac:dyDescent="0.25">
      <c r="E14" s="4">
        <f t="shared" si="2"/>
        <v>2</v>
      </c>
      <c r="F14" s="6">
        <f t="shared" si="1"/>
        <v>0.16202200000000008</v>
      </c>
      <c r="G14" s="1"/>
      <c r="H14" s="5">
        <f>IF(NOT(ISERR(FACT($C$3)/(FACT(H$3)*FACT($C$3-2*H$3-$E14)*FACT($E14+H$3))*($C$10^H$3)*($C$9^($C$3-2*H$3-$E14))*($C$8^($E14+H$3)))),FACT($C$3)/(FACT(H$3)*FACT($C$3-2*H$3-$E14)*FACT($E14+H$3))*($C$10^H$3)*($C$9^($C$3-2*H$3-$E14))*($C$8^($E14+H$3)),0)</f>
        <v>2.8672000000000017E-2</v>
      </c>
      <c r="I14" s="5">
        <f>IF(NOT(ISERR(FACT($C$3)/(FACT(I$3)*FACT($C$3-2*I$3-$E14)*FACT($E14+I$3))*($C$10^I$3)*($C$9^($C$3-2*I$3-$E14))*($C$8^($E14+I$3)))),FACT($C$3)/(FACT(I$3)*FACT($C$3-2*I$3-$E14)*FACT($E14+I$3))*($C$10^I$3)*($C$9^($C$3-2*I$3-$E14))*($C$8^($E14+I$3)),0)</f>
        <v>8.9600000000000041E-2</v>
      </c>
      <c r="J14" s="5">
        <f>IF(NOT(ISERR(FACT($C$3)/(FACT(J$3)*FACT($C$3-2*J$3-$E14)*FACT($E14+J$3))*($C$10^J$3)*($C$9^($C$3-2*J$3-$E14))*($C$8^($E14+J$3)))),FACT($C$3)/(FACT(J$3)*FACT($C$3-2*J$3-$E14)*FACT($E14+J$3))*($C$10^J$3)*($C$9^($C$3-2*J$3-$E14))*($C$8^($E14+J$3)),0)</f>
        <v>4.2000000000000016E-2</v>
      </c>
      <c r="K14" s="5">
        <f>IF(NOT(ISERR(FACT($C$3)/(FACT(K$3)*FACT($C$3-2*K$3-$E14)*FACT($E14+K$3))*($C$10^K$3)*($C$9^($C$3-2*K$3-$E14))*($C$8^($E14+K$3)))),FACT($C$3)/(FACT(K$3)*FACT($C$3-2*K$3-$E14)*FACT($E14+K$3))*($C$10^K$3)*($C$9^($C$3-2*K$3-$E14))*($C$8^($E14+K$3)),0)</f>
        <v>1.7500000000000005E-3</v>
      </c>
      <c r="L14" s="5">
        <f>IF(NOT(ISERR(FACT($C$3)/(FACT(L$3)*FACT($C$3-2*L$3-$E14)*FACT($E14+L$3))*($C$10^L$3)*($C$9^($C$3-2*L$3-$E14))*($C$8^($E14+L$3)))),FACT($C$3)/(FACT(L$3)*FACT($C$3-2*L$3-$E14)*FACT($E14+L$3))*($C$10^L$3)*($C$9^($C$3-2*L$3-$E14))*($C$8^($E14+L$3)),0)</f>
        <v>0</v>
      </c>
      <c r="M14" s="5">
        <f>IF(NOT(ISERR(FACT($C$3)/(FACT(M$3)*FACT($C$3-2*M$3-$E14)*FACT($E14+M$3))*($C$10^M$3)*($C$9^($C$3-2*M$3-$E14))*($C$8^($E14+M$3)))),FACT($C$3)/(FACT(M$3)*FACT($C$3-2*M$3-$E14)*FACT($E14+M$3))*($C$10^M$3)*($C$9^($C$3-2*M$3-$E14))*($C$8^($E14+M$3)),0)</f>
        <v>0</v>
      </c>
      <c r="N14" s="5">
        <f>IF(NOT(ISERR(FACT($C$3)/(FACT(N$3)*FACT($C$3-2*N$3-$E14)*FACT($E14+N$3))*($C$10^N$3)*($C$9^($C$3-2*N$3-$E14))*($C$8^($E14+N$3)))),FACT($C$3)/(FACT(N$3)*FACT($C$3-2*N$3-$E14)*FACT($E14+N$3))*($C$10^N$3)*($C$9^($C$3-2*N$3-$E14))*($C$8^($E14+N$3)),0)</f>
        <v>0</v>
      </c>
      <c r="O14" s="5">
        <f>IF(NOT(ISERR(FACT($C$3)/(FACT(O$3)*FACT($C$3-2*O$3-$E14)*FACT($E14+O$3))*($C$10^O$3)*($C$9^($C$3-2*O$3-$E14))*($C$8^($E14+O$3)))),FACT($C$3)/(FACT(O$3)*FACT($C$3-2*O$3-$E14)*FACT($E14+O$3))*($C$10^O$3)*($C$9^($C$3-2*O$3-$E14))*($C$8^($E14+O$3)),0)</f>
        <v>0</v>
      </c>
      <c r="P14" s="5">
        <f>IF(NOT(ISERR(FACT($C$3)/(FACT(P$3)*FACT($C$3-2*P$3-$E14)*FACT($E14+P$3))*($C$10^P$3)*($C$9^($C$3-2*P$3-$E14))*($C$8^($E14+P$3)))),FACT($C$3)/(FACT(P$3)*FACT($C$3-2*P$3-$E14)*FACT($E14+P$3))*($C$10^P$3)*($C$9^($C$3-2*P$3-$E14))*($C$8^($E14+P$3)),0)</f>
        <v>0</v>
      </c>
      <c r="Q14" s="5">
        <f>IF(NOT(ISERR(FACT($C$3)/(FACT(Q$3)*FACT($C$3-2*Q$3-$E14)*FACT($E14+Q$3))*($C$10^Q$3)*($C$9^($C$3-2*Q$3-$E14))*($C$8^($E14+Q$3)))),FACT($C$3)/(FACT(Q$3)*FACT($C$3-2*Q$3-$E14)*FACT($E14+Q$3))*($C$10^Q$3)*($C$9^($C$3-2*Q$3-$E14))*($C$8^($E14+Q$3)),0)</f>
        <v>0</v>
      </c>
      <c r="R14" s="5">
        <f>IF(NOT(ISERR(FACT($C$3)/(FACT(R$3)*FACT($C$3-2*R$3-$E14)*FACT($E14+R$3))*($C$10^R$3)*($C$9^($C$3-2*R$3-$E14))*($C$8^($E14+R$3)))),FACT($C$3)/(FACT(R$3)*FACT($C$3-2*R$3-$E14)*FACT($E14+R$3))*($C$10^R$3)*($C$9^($C$3-2*R$3-$E14))*($C$8^($E14+R$3)),0)</f>
        <v>0</v>
      </c>
      <c r="S14" s="5">
        <f>IF(NOT(ISERR(FACT($C$3)/(FACT(S$3)*FACT($C$3-2*S$3-$E14)*FACT($E14+S$3))*($C$10^S$3)*($C$9^($C$3-2*S$3-$E14))*($C$8^($E14+S$3)))),FACT($C$3)/(FACT(S$3)*FACT($C$3-2*S$3-$E14)*FACT($E14+S$3))*($C$10^S$3)*($C$9^($C$3-2*S$3-$E14))*($C$8^($E14+S$3)),0)</f>
        <v>0</v>
      </c>
      <c r="T14" s="5">
        <f>IF(NOT(ISERR(FACT($C$3)/(FACT(T$3)*FACT($C$3-2*T$3-$E14)*FACT($E14+T$3))*($C$10^T$3)*($C$9^($C$3-2*T$3-$E14))*($C$8^($E14+T$3)))),FACT($C$3)/(FACT(T$3)*FACT($C$3-2*T$3-$E14)*FACT($E14+T$3))*($C$10^T$3)*($C$9^($C$3-2*T$3-$E14))*($C$8^($E14+T$3)),0)</f>
        <v>0</v>
      </c>
      <c r="U14" s="5">
        <f>IF(NOT(ISERR(FACT($C$3)/(FACT(U$3)*FACT($C$3-2*U$3-$E14)*FACT($E14+U$3))*($C$10^U$3)*($C$9^($C$3-2*U$3-$E14))*($C$8^($E14+U$3)))),FACT($C$3)/(FACT(U$3)*FACT($C$3-2*U$3-$E14)*FACT($E14+U$3))*($C$10^U$3)*($C$9^($C$3-2*U$3-$E14))*($C$8^($E14+U$3)),0)</f>
        <v>0</v>
      </c>
      <c r="V14" s="5">
        <f>IF(NOT(ISERR(FACT($C$3)/(FACT(V$3)*FACT($C$3-2*V$3-$E14)*FACT($E14+V$3))*($C$10^V$3)*($C$9^($C$3-2*V$3-$E14))*($C$8^($E14+V$3)))),FACT($C$3)/(FACT(V$3)*FACT($C$3-2*V$3-$E14)*FACT($E14+V$3))*($C$10^V$3)*($C$9^($C$3-2*V$3-$E14))*($C$8^($E14+V$3)),0)</f>
        <v>0</v>
      </c>
      <c r="W14" s="5">
        <f>IF(NOT(ISERR(FACT($C$3)/(FACT(W$3)*FACT($C$3-2*W$3-$E14)*FACT($E14+W$3))*($C$10^W$3)*($C$9^($C$3-2*W$3-$E14))*($C$8^($E14+W$3)))),FACT($C$3)/(FACT(W$3)*FACT($C$3-2*W$3-$E14)*FACT($E14+W$3))*($C$10^W$3)*($C$9^($C$3-2*W$3-$E14))*($C$8^($E14+W$3)),0)</f>
        <v>0</v>
      </c>
    </row>
    <row r="15" spans="2:23" x14ac:dyDescent="0.25">
      <c r="E15" s="4">
        <f t="shared" si="2"/>
        <v>3</v>
      </c>
      <c r="F15" s="6">
        <f t="shared" si="1"/>
        <v>0.20468000000000008</v>
      </c>
      <c r="G15" s="1"/>
      <c r="H15" s="5">
        <f>IF(NOT(ISERR(FACT($C$3)/(FACT(H$3)*FACT($C$3-2*H$3-$E15)*FACT($E15+H$3))*($C$10^H$3)*($C$9^($C$3-2*H$3-$E15))*($C$8^($E15+H$3)))),FACT($C$3)/(FACT(H$3)*FACT($C$3-2*H$3-$E15)*FACT($E15+H$3))*($C$10^H$3)*($C$9^($C$3-2*H$3-$E15))*($C$8^($E15+H$3)),0)</f>
        <v>7.1680000000000049E-2</v>
      </c>
      <c r="I15" s="5">
        <f>IF(NOT(ISERR(FACT($C$3)/(FACT(I$3)*FACT($C$3-2*I$3-$E15)*FACT($E15+I$3))*($C$10^I$3)*($C$9^($C$3-2*I$3-$E15))*($C$8^($E15+I$3)))),FACT($C$3)/(FACT(I$3)*FACT($C$3-2*I$3-$E15)*FACT($E15+I$3))*($C$10^I$3)*($C$9^($C$3-2*I$3-$E15))*($C$8^($E15+I$3)),0)</f>
        <v>0.11200000000000003</v>
      </c>
      <c r="J15" s="5">
        <f>IF(NOT(ISERR(FACT($C$3)/(FACT(J$3)*FACT($C$3-2*J$3-$E15)*FACT($E15+J$3))*($C$10^J$3)*($C$9^($C$3-2*J$3-$E15))*($C$8^($E15+J$3)))),FACT($C$3)/(FACT(J$3)*FACT($C$3-2*J$3-$E15)*FACT($E15+J$3))*($C$10^J$3)*($C$9^($C$3-2*J$3-$E15))*($C$8^($E15+J$3)),0)</f>
        <v>2.1000000000000005E-2</v>
      </c>
      <c r="K15" s="5">
        <f>IF(NOT(ISERR(FACT($C$3)/(FACT(K$3)*FACT($C$3-2*K$3-$E15)*FACT($E15+K$3))*($C$10^K$3)*($C$9^($C$3-2*K$3-$E15))*($C$8^($E15+K$3)))),FACT($C$3)/(FACT(K$3)*FACT($C$3-2*K$3-$E15)*FACT($E15+K$3))*($C$10^K$3)*($C$9^($C$3-2*K$3-$E15))*($C$8^($E15+K$3)),0)</f>
        <v>0</v>
      </c>
      <c r="L15" s="5">
        <f>IF(NOT(ISERR(FACT($C$3)/(FACT(L$3)*FACT($C$3-2*L$3-$E15)*FACT($E15+L$3))*($C$10^L$3)*($C$9^($C$3-2*L$3-$E15))*($C$8^($E15+L$3)))),FACT($C$3)/(FACT(L$3)*FACT($C$3-2*L$3-$E15)*FACT($E15+L$3))*($C$10^L$3)*($C$9^($C$3-2*L$3-$E15))*($C$8^($E15+L$3)),0)</f>
        <v>0</v>
      </c>
      <c r="M15" s="5">
        <f>IF(NOT(ISERR(FACT($C$3)/(FACT(M$3)*FACT($C$3-2*M$3-$E15)*FACT($E15+M$3))*($C$10^M$3)*($C$9^($C$3-2*M$3-$E15))*($C$8^($E15+M$3)))),FACT($C$3)/(FACT(M$3)*FACT($C$3-2*M$3-$E15)*FACT($E15+M$3))*($C$10^M$3)*($C$9^($C$3-2*M$3-$E15))*($C$8^($E15+M$3)),0)</f>
        <v>0</v>
      </c>
      <c r="N15" s="5">
        <f>IF(NOT(ISERR(FACT($C$3)/(FACT(N$3)*FACT($C$3-2*N$3-$E15)*FACT($E15+N$3))*($C$10^N$3)*($C$9^($C$3-2*N$3-$E15))*($C$8^($E15+N$3)))),FACT($C$3)/(FACT(N$3)*FACT($C$3-2*N$3-$E15)*FACT($E15+N$3))*($C$10^N$3)*($C$9^($C$3-2*N$3-$E15))*($C$8^($E15+N$3)),0)</f>
        <v>0</v>
      </c>
      <c r="O15" s="5">
        <f>IF(NOT(ISERR(FACT($C$3)/(FACT(O$3)*FACT($C$3-2*O$3-$E15)*FACT($E15+O$3))*($C$10^O$3)*($C$9^($C$3-2*O$3-$E15))*($C$8^($E15+O$3)))),FACT($C$3)/(FACT(O$3)*FACT($C$3-2*O$3-$E15)*FACT($E15+O$3))*($C$10^O$3)*($C$9^($C$3-2*O$3-$E15))*($C$8^($E15+O$3)),0)</f>
        <v>0</v>
      </c>
      <c r="P15" s="5">
        <f>IF(NOT(ISERR(FACT($C$3)/(FACT(P$3)*FACT($C$3-2*P$3-$E15)*FACT($E15+P$3))*($C$10^P$3)*($C$9^($C$3-2*P$3-$E15))*($C$8^($E15+P$3)))),FACT($C$3)/(FACT(P$3)*FACT($C$3-2*P$3-$E15)*FACT($E15+P$3))*($C$10^P$3)*($C$9^($C$3-2*P$3-$E15))*($C$8^($E15+P$3)),0)</f>
        <v>0</v>
      </c>
      <c r="Q15" s="5">
        <f>IF(NOT(ISERR(FACT($C$3)/(FACT(Q$3)*FACT($C$3-2*Q$3-$E15)*FACT($E15+Q$3))*($C$10^Q$3)*($C$9^($C$3-2*Q$3-$E15))*($C$8^($E15+Q$3)))),FACT($C$3)/(FACT(Q$3)*FACT($C$3-2*Q$3-$E15)*FACT($E15+Q$3))*($C$10^Q$3)*($C$9^($C$3-2*Q$3-$E15))*($C$8^($E15+Q$3)),0)</f>
        <v>0</v>
      </c>
      <c r="R15" s="5">
        <f>IF(NOT(ISERR(FACT($C$3)/(FACT(R$3)*FACT($C$3-2*R$3-$E15)*FACT($E15+R$3))*($C$10^R$3)*($C$9^($C$3-2*R$3-$E15))*($C$8^($E15+R$3)))),FACT($C$3)/(FACT(R$3)*FACT($C$3-2*R$3-$E15)*FACT($E15+R$3))*($C$10^R$3)*($C$9^($C$3-2*R$3-$E15))*($C$8^($E15+R$3)),0)</f>
        <v>0</v>
      </c>
      <c r="S15" s="5">
        <f>IF(NOT(ISERR(FACT($C$3)/(FACT(S$3)*FACT($C$3-2*S$3-$E15)*FACT($E15+S$3))*($C$10^S$3)*($C$9^($C$3-2*S$3-$E15))*($C$8^($E15+S$3)))),FACT($C$3)/(FACT(S$3)*FACT($C$3-2*S$3-$E15)*FACT($E15+S$3))*($C$10^S$3)*($C$9^($C$3-2*S$3-$E15))*($C$8^($E15+S$3)),0)</f>
        <v>0</v>
      </c>
      <c r="T15" s="5">
        <f>IF(NOT(ISERR(FACT($C$3)/(FACT(T$3)*FACT($C$3-2*T$3-$E15)*FACT($E15+T$3))*($C$10^T$3)*($C$9^($C$3-2*T$3-$E15))*($C$8^($E15+T$3)))),FACT($C$3)/(FACT(T$3)*FACT($C$3-2*T$3-$E15)*FACT($E15+T$3))*($C$10^T$3)*($C$9^($C$3-2*T$3-$E15))*($C$8^($E15+T$3)),0)</f>
        <v>0</v>
      </c>
      <c r="U15" s="5">
        <f>IF(NOT(ISERR(FACT($C$3)/(FACT(U$3)*FACT($C$3-2*U$3-$E15)*FACT($E15+U$3))*($C$10^U$3)*($C$9^($C$3-2*U$3-$E15))*($C$8^($E15+U$3)))),FACT($C$3)/(FACT(U$3)*FACT($C$3-2*U$3-$E15)*FACT($E15+U$3))*($C$10^U$3)*($C$9^($C$3-2*U$3-$E15))*($C$8^($E15+U$3)),0)</f>
        <v>0</v>
      </c>
      <c r="V15" s="5">
        <f>IF(NOT(ISERR(FACT($C$3)/(FACT(V$3)*FACT($C$3-2*V$3-$E15)*FACT($E15+V$3))*($C$10^V$3)*($C$9^($C$3-2*V$3-$E15))*($C$8^($E15+V$3)))),FACT($C$3)/(FACT(V$3)*FACT($C$3-2*V$3-$E15)*FACT($E15+V$3))*($C$10^V$3)*($C$9^($C$3-2*V$3-$E15))*($C$8^($E15+V$3)),0)</f>
        <v>0</v>
      </c>
      <c r="W15" s="5">
        <f>IF(NOT(ISERR(FACT($C$3)/(FACT(W$3)*FACT($C$3-2*W$3-$E15)*FACT($E15+W$3))*($C$10^W$3)*($C$9^($C$3-2*W$3-$E15))*($C$8^($E15+W$3)))),FACT($C$3)/(FACT(W$3)*FACT($C$3-2*W$3-$E15)*FACT($E15+W$3))*($C$10^W$3)*($C$9^($C$3-2*W$3-$E15))*($C$8^($E15+W$3)),0)</f>
        <v>0</v>
      </c>
    </row>
    <row r="16" spans="2:23" x14ac:dyDescent="0.25">
      <c r="E16" s="4">
        <f t="shared" si="2"/>
        <v>4</v>
      </c>
      <c r="F16" s="6">
        <f t="shared" si="1"/>
        <v>0.20037500000000005</v>
      </c>
      <c r="G16" s="1"/>
      <c r="H16" s="5">
        <f>IF(NOT(ISERR(FACT($C$3)/(FACT(H$3)*FACT($C$3-2*H$3-$E16)*FACT($E16+H$3))*($C$10^H$3)*($C$9^($C$3-2*H$3-$E16))*($C$8^($E16+H$3)))),FACT($C$3)/(FACT(H$3)*FACT($C$3-2*H$3-$E16)*FACT($E16+H$3))*($C$10^H$3)*($C$9^($C$3-2*H$3-$E16))*($C$8^($E16+H$3)),0)</f>
        <v>0.11200000000000004</v>
      </c>
      <c r="I16" s="5">
        <f>IF(NOT(ISERR(FACT($C$3)/(FACT(I$3)*FACT($C$3-2*I$3-$E16)*FACT($E16+I$3))*($C$10^I$3)*($C$9^($C$3-2*I$3-$E16))*($C$8^($E16+I$3)))),FACT($C$3)/(FACT(I$3)*FACT($C$3-2*I$3-$E16)*FACT($E16+I$3))*($C$10^I$3)*($C$9^($C$3-2*I$3-$E16))*($C$8^($E16+I$3)),0)</f>
        <v>8.4000000000000019E-2</v>
      </c>
      <c r="J16" s="5">
        <f>IF(NOT(ISERR(FACT($C$3)/(FACT(J$3)*FACT($C$3-2*J$3-$E16)*FACT($E16+J$3))*($C$10^J$3)*($C$9^($C$3-2*J$3-$E16))*($C$8^($E16+J$3)))),FACT($C$3)/(FACT(J$3)*FACT($C$3-2*J$3-$E16)*FACT($E16+J$3))*($C$10^J$3)*($C$9^($C$3-2*J$3-$E16))*($C$8^($E16+J$3)),0)</f>
        <v>4.3750000000000004E-3</v>
      </c>
      <c r="K16" s="5">
        <f>IF(NOT(ISERR(FACT($C$3)/(FACT(K$3)*FACT($C$3-2*K$3-$E16)*FACT($E16+K$3))*($C$10^K$3)*($C$9^($C$3-2*K$3-$E16))*($C$8^($E16+K$3)))),FACT($C$3)/(FACT(K$3)*FACT($C$3-2*K$3-$E16)*FACT($E16+K$3))*($C$10^K$3)*($C$9^($C$3-2*K$3-$E16))*($C$8^($E16+K$3)),0)</f>
        <v>0</v>
      </c>
      <c r="L16" s="5">
        <f>IF(NOT(ISERR(FACT($C$3)/(FACT(L$3)*FACT($C$3-2*L$3-$E16)*FACT($E16+L$3))*($C$10^L$3)*($C$9^($C$3-2*L$3-$E16))*($C$8^($E16+L$3)))),FACT($C$3)/(FACT(L$3)*FACT($C$3-2*L$3-$E16)*FACT($E16+L$3))*($C$10^L$3)*($C$9^($C$3-2*L$3-$E16))*($C$8^($E16+L$3)),0)</f>
        <v>0</v>
      </c>
      <c r="M16" s="5">
        <f>IF(NOT(ISERR(FACT($C$3)/(FACT(M$3)*FACT($C$3-2*M$3-$E16)*FACT($E16+M$3))*($C$10^M$3)*($C$9^($C$3-2*M$3-$E16))*($C$8^($E16+M$3)))),FACT($C$3)/(FACT(M$3)*FACT($C$3-2*M$3-$E16)*FACT($E16+M$3))*($C$10^M$3)*($C$9^($C$3-2*M$3-$E16))*($C$8^($E16+M$3)),0)</f>
        <v>0</v>
      </c>
      <c r="N16" s="5">
        <f>IF(NOT(ISERR(FACT($C$3)/(FACT(N$3)*FACT($C$3-2*N$3-$E16)*FACT($E16+N$3))*($C$10^N$3)*($C$9^($C$3-2*N$3-$E16))*($C$8^($E16+N$3)))),FACT($C$3)/(FACT(N$3)*FACT($C$3-2*N$3-$E16)*FACT($E16+N$3))*($C$10^N$3)*($C$9^($C$3-2*N$3-$E16))*($C$8^($E16+N$3)),0)</f>
        <v>0</v>
      </c>
      <c r="O16" s="5">
        <f>IF(NOT(ISERR(FACT($C$3)/(FACT(O$3)*FACT($C$3-2*O$3-$E16)*FACT($E16+O$3))*($C$10^O$3)*($C$9^($C$3-2*O$3-$E16))*($C$8^($E16+O$3)))),FACT($C$3)/(FACT(O$3)*FACT($C$3-2*O$3-$E16)*FACT($E16+O$3))*($C$10^O$3)*($C$9^($C$3-2*O$3-$E16))*($C$8^($E16+O$3)),0)</f>
        <v>0</v>
      </c>
      <c r="P16" s="5">
        <f>IF(NOT(ISERR(FACT($C$3)/(FACT(P$3)*FACT($C$3-2*P$3-$E16)*FACT($E16+P$3))*($C$10^P$3)*($C$9^($C$3-2*P$3-$E16))*($C$8^($E16+P$3)))),FACT($C$3)/(FACT(P$3)*FACT($C$3-2*P$3-$E16)*FACT($E16+P$3))*($C$10^P$3)*($C$9^($C$3-2*P$3-$E16))*($C$8^($E16+P$3)),0)</f>
        <v>0</v>
      </c>
      <c r="Q16" s="5">
        <f>IF(NOT(ISERR(FACT($C$3)/(FACT(Q$3)*FACT($C$3-2*Q$3-$E16)*FACT($E16+Q$3))*($C$10^Q$3)*($C$9^($C$3-2*Q$3-$E16))*($C$8^($E16+Q$3)))),FACT($C$3)/(FACT(Q$3)*FACT($C$3-2*Q$3-$E16)*FACT($E16+Q$3))*($C$10^Q$3)*($C$9^($C$3-2*Q$3-$E16))*($C$8^($E16+Q$3)),0)</f>
        <v>0</v>
      </c>
      <c r="R16" s="5">
        <f>IF(NOT(ISERR(FACT($C$3)/(FACT(R$3)*FACT($C$3-2*R$3-$E16)*FACT($E16+R$3))*($C$10^R$3)*($C$9^($C$3-2*R$3-$E16))*($C$8^($E16+R$3)))),FACT($C$3)/(FACT(R$3)*FACT($C$3-2*R$3-$E16)*FACT($E16+R$3))*($C$10^R$3)*($C$9^($C$3-2*R$3-$E16))*($C$8^($E16+R$3)),0)</f>
        <v>0</v>
      </c>
      <c r="S16" s="5">
        <f>IF(NOT(ISERR(FACT($C$3)/(FACT(S$3)*FACT($C$3-2*S$3-$E16)*FACT($E16+S$3))*($C$10^S$3)*($C$9^($C$3-2*S$3-$E16))*($C$8^($E16+S$3)))),FACT($C$3)/(FACT(S$3)*FACT($C$3-2*S$3-$E16)*FACT($E16+S$3))*($C$10^S$3)*($C$9^($C$3-2*S$3-$E16))*($C$8^($E16+S$3)),0)</f>
        <v>0</v>
      </c>
      <c r="T16" s="5">
        <f>IF(NOT(ISERR(FACT($C$3)/(FACT(T$3)*FACT($C$3-2*T$3-$E16)*FACT($E16+T$3))*($C$10^T$3)*($C$9^($C$3-2*T$3-$E16))*($C$8^($E16+T$3)))),FACT($C$3)/(FACT(T$3)*FACT($C$3-2*T$3-$E16)*FACT($E16+T$3))*($C$10^T$3)*($C$9^($C$3-2*T$3-$E16))*($C$8^($E16+T$3)),0)</f>
        <v>0</v>
      </c>
      <c r="U16" s="5">
        <f>IF(NOT(ISERR(FACT($C$3)/(FACT(U$3)*FACT($C$3-2*U$3-$E16)*FACT($E16+U$3))*($C$10^U$3)*($C$9^($C$3-2*U$3-$E16))*($C$8^($E16+U$3)))),FACT($C$3)/(FACT(U$3)*FACT($C$3-2*U$3-$E16)*FACT($E16+U$3))*($C$10^U$3)*($C$9^($C$3-2*U$3-$E16))*($C$8^($E16+U$3)),0)</f>
        <v>0</v>
      </c>
      <c r="V16" s="5">
        <f>IF(NOT(ISERR(FACT($C$3)/(FACT(V$3)*FACT($C$3-2*V$3-$E16)*FACT($E16+V$3))*($C$10^V$3)*($C$9^($C$3-2*V$3-$E16))*($C$8^($E16+V$3)))),FACT($C$3)/(FACT(V$3)*FACT($C$3-2*V$3-$E16)*FACT($E16+V$3))*($C$10^V$3)*($C$9^($C$3-2*V$3-$E16))*($C$8^($E16+V$3)),0)</f>
        <v>0</v>
      </c>
      <c r="W16" s="5">
        <f>IF(NOT(ISERR(FACT($C$3)/(FACT(W$3)*FACT($C$3-2*W$3-$E16)*FACT($E16+W$3))*($C$10^W$3)*($C$9^($C$3-2*W$3-$E16))*($C$8^($E16+W$3)))),FACT($C$3)/(FACT(W$3)*FACT($C$3-2*W$3-$E16)*FACT($E16+W$3))*($C$10^W$3)*($C$9^($C$3-2*W$3-$E16))*($C$8^($E16+W$3)),0)</f>
        <v>0</v>
      </c>
    </row>
    <row r="17" spans="5:23" x14ac:dyDescent="0.25">
      <c r="E17" s="4">
        <f t="shared" si="2"/>
        <v>5</v>
      </c>
      <c r="F17" s="6">
        <f t="shared" si="1"/>
        <v>0.14700000000000002</v>
      </c>
      <c r="G17" s="1"/>
      <c r="H17" s="5">
        <f>IF(NOT(ISERR(FACT($C$3)/(FACT(H$3)*FACT($C$3-2*H$3-$E17)*FACT($E17+H$3))*($C$10^H$3)*($C$9^($C$3-2*H$3-$E17))*($C$8^($E17+H$3)))),FACT($C$3)/(FACT(H$3)*FACT($C$3-2*H$3-$E17)*FACT($E17+H$3))*($C$10^H$3)*($C$9^($C$3-2*H$3-$E17))*($C$8^($E17+H$3)),0)</f>
        <v>0.11200000000000003</v>
      </c>
      <c r="I17" s="5">
        <f>IF(NOT(ISERR(FACT($C$3)/(FACT(I$3)*FACT($C$3-2*I$3-$E17)*FACT($E17+I$3))*($C$10^I$3)*($C$9^($C$3-2*I$3-$E17))*($C$8^($E17+I$3)))),FACT($C$3)/(FACT(I$3)*FACT($C$3-2*I$3-$E17)*FACT($E17+I$3))*($C$10^I$3)*($C$9^($C$3-2*I$3-$E17))*($C$8^($E17+I$3)),0)</f>
        <v>3.5000000000000003E-2</v>
      </c>
      <c r="J17" s="5">
        <f>IF(NOT(ISERR(FACT($C$3)/(FACT(J$3)*FACT($C$3-2*J$3-$E17)*FACT($E17+J$3))*($C$10^J$3)*($C$9^($C$3-2*J$3-$E17))*($C$8^($E17+J$3)))),FACT($C$3)/(FACT(J$3)*FACT($C$3-2*J$3-$E17)*FACT($E17+J$3))*($C$10^J$3)*($C$9^($C$3-2*J$3-$E17))*($C$8^($E17+J$3)),0)</f>
        <v>0</v>
      </c>
      <c r="K17" s="5">
        <f>IF(NOT(ISERR(FACT($C$3)/(FACT(K$3)*FACT($C$3-2*K$3-$E17)*FACT($E17+K$3))*($C$10^K$3)*($C$9^($C$3-2*K$3-$E17))*($C$8^($E17+K$3)))),FACT($C$3)/(FACT(K$3)*FACT($C$3-2*K$3-$E17)*FACT($E17+K$3))*($C$10^K$3)*($C$9^($C$3-2*K$3-$E17))*($C$8^($E17+K$3)),0)</f>
        <v>0</v>
      </c>
      <c r="L17" s="5">
        <f>IF(NOT(ISERR(FACT($C$3)/(FACT(L$3)*FACT($C$3-2*L$3-$E17)*FACT($E17+L$3))*($C$10^L$3)*($C$9^($C$3-2*L$3-$E17))*($C$8^($E17+L$3)))),FACT($C$3)/(FACT(L$3)*FACT($C$3-2*L$3-$E17)*FACT($E17+L$3))*($C$10^L$3)*($C$9^($C$3-2*L$3-$E17))*($C$8^($E17+L$3)),0)</f>
        <v>0</v>
      </c>
      <c r="M17" s="5">
        <f>IF(NOT(ISERR(FACT($C$3)/(FACT(M$3)*FACT($C$3-2*M$3-$E17)*FACT($E17+M$3))*($C$10^M$3)*($C$9^($C$3-2*M$3-$E17))*($C$8^($E17+M$3)))),FACT($C$3)/(FACT(M$3)*FACT($C$3-2*M$3-$E17)*FACT($E17+M$3))*($C$10^M$3)*($C$9^($C$3-2*M$3-$E17))*($C$8^($E17+M$3)),0)</f>
        <v>0</v>
      </c>
      <c r="N17" s="5">
        <f>IF(NOT(ISERR(FACT($C$3)/(FACT(N$3)*FACT($C$3-2*N$3-$E17)*FACT($E17+N$3))*($C$10^N$3)*($C$9^($C$3-2*N$3-$E17))*($C$8^($E17+N$3)))),FACT($C$3)/(FACT(N$3)*FACT($C$3-2*N$3-$E17)*FACT($E17+N$3))*($C$10^N$3)*($C$9^($C$3-2*N$3-$E17))*($C$8^($E17+N$3)),0)</f>
        <v>0</v>
      </c>
      <c r="O17" s="5">
        <f>IF(NOT(ISERR(FACT($C$3)/(FACT(O$3)*FACT($C$3-2*O$3-$E17)*FACT($E17+O$3))*($C$10^O$3)*($C$9^($C$3-2*O$3-$E17))*($C$8^($E17+O$3)))),FACT($C$3)/(FACT(O$3)*FACT($C$3-2*O$3-$E17)*FACT($E17+O$3))*($C$10^O$3)*($C$9^($C$3-2*O$3-$E17))*($C$8^($E17+O$3)),0)</f>
        <v>0</v>
      </c>
      <c r="P17" s="5">
        <f>IF(NOT(ISERR(FACT($C$3)/(FACT(P$3)*FACT($C$3-2*P$3-$E17)*FACT($E17+P$3))*($C$10^P$3)*($C$9^($C$3-2*P$3-$E17))*($C$8^($E17+P$3)))),FACT($C$3)/(FACT(P$3)*FACT($C$3-2*P$3-$E17)*FACT($E17+P$3))*($C$10^P$3)*($C$9^($C$3-2*P$3-$E17))*($C$8^($E17+P$3)),0)</f>
        <v>0</v>
      </c>
      <c r="Q17" s="5">
        <f>IF(NOT(ISERR(FACT($C$3)/(FACT(Q$3)*FACT($C$3-2*Q$3-$E17)*FACT($E17+Q$3))*($C$10^Q$3)*($C$9^($C$3-2*Q$3-$E17))*($C$8^($E17+Q$3)))),FACT($C$3)/(FACT(Q$3)*FACT($C$3-2*Q$3-$E17)*FACT($E17+Q$3))*($C$10^Q$3)*($C$9^($C$3-2*Q$3-$E17))*($C$8^($E17+Q$3)),0)</f>
        <v>0</v>
      </c>
      <c r="R17" s="5">
        <f>IF(NOT(ISERR(FACT($C$3)/(FACT(R$3)*FACT($C$3-2*R$3-$E17)*FACT($E17+R$3))*($C$10^R$3)*($C$9^($C$3-2*R$3-$E17))*($C$8^($E17+R$3)))),FACT($C$3)/(FACT(R$3)*FACT($C$3-2*R$3-$E17)*FACT($E17+R$3))*($C$10^R$3)*($C$9^($C$3-2*R$3-$E17))*($C$8^($E17+R$3)),0)</f>
        <v>0</v>
      </c>
      <c r="S17" s="5">
        <f>IF(NOT(ISERR(FACT($C$3)/(FACT(S$3)*FACT($C$3-2*S$3-$E17)*FACT($E17+S$3))*($C$10^S$3)*($C$9^($C$3-2*S$3-$E17))*($C$8^($E17+S$3)))),FACT($C$3)/(FACT(S$3)*FACT($C$3-2*S$3-$E17)*FACT($E17+S$3))*($C$10^S$3)*($C$9^($C$3-2*S$3-$E17))*($C$8^($E17+S$3)),0)</f>
        <v>0</v>
      </c>
      <c r="T17" s="5">
        <f>IF(NOT(ISERR(FACT($C$3)/(FACT(T$3)*FACT($C$3-2*T$3-$E17)*FACT($E17+T$3))*($C$10^T$3)*($C$9^($C$3-2*T$3-$E17))*($C$8^($E17+T$3)))),FACT($C$3)/(FACT(T$3)*FACT($C$3-2*T$3-$E17)*FACT($E17+T$3))*($C$10^T$3)*($C$9^($C$3-2*T$3-$E17))*($C$8^($E17+T$3)),0)</f>
        <v>0</v>
      </c>
      <c r="U17" s="5">
        <f>IF(NOT(ISERR(FACT($C$3)/(FACT(U$3)*FACT($C$3-2*U$3-$E17)*FACT($E17+U$3))*($C$10^U$3)*($C$9^($C$3-2*U$3-$E17))*($C$8^($E17+U$3)))),FACT($C$3)/(FACT(U$3)*FACT($C$3-2*U$3-$E17)*FACT($E17+U$3))*($C$10^U$3)*($C$9^($C$3-2*U$3-$E17))*($C$8^($E17+U$3)),0)</f>
        <v>0</v>
      </c>
      <c r="V17" s="5">
        <f>IF(NOT(ISERR(FACT($C$3)/(FACT(V$3)*FACT($C$3-2*V$3-$E17)*FACT($E17+V$3))*($C$10^V$3)*($C$9^($C$3-2*V$3-$E17))*($C$8^($E17+V$3)))),FACT($C$3)/(FACT(V$3)*FACT($C$3-2*V$3-$E17)*FACT($E17+V$3))*($C$10^V$3)*($C$9^($C$3-2*V$3-$E17))*($C$8^($E17+V$3)),0)</f>
        <v>0</v>
      </c>
      <c r="W17" s="5">
        <f>IF(NOT(ISERR(FACT($C$3)/(FACT(W$3)*FACT($C$3-2*W$3-$E17)*FACT($E17+W$3))*($C$10^W$3)*($C$9^($C$3-2*W$3-$E17))*($C$8^($E17+W$3)))),FACT($C$3)/(FACT(W$3)*FACT($C$3-2*W$3-$E17)*FACT($E17+W$3))*($C$10^W$3)*($C$9^($C$3-2*W$3-$E17))*($C$8^($E17+W$3)),0)</f>
        <v>0</v>
      </c>
    </row>
    <row r="18" spans="5:23" x14ac:dyDescent="0.25">
      <c r="E18" s="4">
        <f t="shared" si="2"/>
        <v>6</v>
      </c>
      <c r="F18" s="6">
        <f t="shared" si="1"/>
        <v>7.6250000000000012E-2</v>
      </c>
      <c r="G18" s="1"/>
      <c r="H18" s="5">
        <f>IF(NOT(ISERR(FACT($C$3)/(FACT(H$3)*FACT($C$3-2*H$3-$E18)*FACT($E18+H$3))*($C$10^H$3)*($C$9^($C$3-2*H$3-$E18))*($C$8^($E18+H$3)))),FACT($C$3)/(FACT(H$3)*FACT($C$3-2*H$3-$E18)*FACT($E18+H$3))*($C$10^H$3)*($C$9^($C$3-2*H$3-$E18))*($C$8^($E18+H$3)),0)</f>
        <v>7.0000000000000007E-2</v>
      </c>
      <c r="I18" s="5">
        <f>IF(NOT(ISERR(FACT($C$3)/(FACT(I$3)*FACT($C$3-2*I$3-$E18)*FACT($E18+I$3))*($C$10^I$3)*($C$9^($C$3-2*I$3-$E18))*($C$8^($E18+I$3)))),FACT($C$3)/(FACT(I$3)*FACT($C$3-2*I$3-$E18)*FACT($E18+I$3))*($C$10^I$3)*($C$9^($C$3-2*I$3-$E18))*($C$8^($E18+I$3)),0)</f>
        <v>6.2500000000000003E-3</v>
      </c>
      <c r="J18" s="5">
        <f>IF(NOT(ISERR(FACT($C$3)/(FACT(J$3)*FACT($C$3-2*J$3-$E18)*FACT($E18+J$3))*($C$10^J$3)*($C$9^($C$3-2*J$3-$E18))*($C$8^($E18+J$3)))),FACT($C$3)/(FACT(J$3)*FACT($C$3-2*J$3-$E18)*FACT($E18+J$3))*($C$10^J$3)*($C$9^($C$3-2*J$3-$E18))*($C$8^($E18+J$3)),0)</f>
        <v>0</v>
      </c>
      <c r="K18" s="5">
        <f>IF(NOT(ISERR(FACT($C$3)/(FACT(K$3)*FACT($C$3-2*K$3-$E18)*FACT($E18+K$3))*($C$10^K$3)*($C$9^($C$3-2*K$3-$E18))*($C$8^($E18+K$3)))),FACT($C$3)/(FACT(K$3)*FACT($C$3-2*K$3-$E18)*FACT($E18+K$3))*($C$10^K$3)*($C$9^($C$3-2*K$3-$E18))*($C$8^($E18+K$3)),0)</f>
        <v>0</v>
      </c>
      <c r="L18" s="5">
        <f>IF(NOT(ISERR(FACT($C$3)/(FACT(L$3)*FACT($C$3-2*L$3-$E18)*FACT($E18+L$3))*($C$10^L$3)*($C$9^($C$3-2*L$3-$E18))*($C$8^($E18+L$3)))),FACT($C$3)/(FACT(L$3)*FACT($C$3-2*L$3-$E18)*FACT($E18+L$3))*($C$10^L$3)*($C$9^($C$3-2*L$3-$E18))*($C$8^($E18+L$3)),0)</f>
        <v>0</v>
      </c>
      <c r="M18" s="5">
        <f>IF(NOT(ISERR(FACT($C$3)/(FACT(M$3)*FACT($C$3-2*M$3-$E18)*FACT($E18+M$3))*($C$10^M$3)*($C$9^($C$3-2*M$3-$E18))*($C$8^($E18+M$3)))),FACT($C$3)/(FACT(M$3)*FACT($C$3-2*M$3-$E18)*FACT($E18+M$3))*($C$10^M$3)*($C$9^($C$3-2*M$3-$E18))*($C$8^($E18+M$3)),0)</f>
        <v>0</v>
      </c>
      <c r="N18" s="5">
        <f>IF(NOT(ISERR(FACT($C$3)/(FACT(N$3)*FACT($C$3-2*N$3-$E18)*FACT($E18+N$3))*($C$10^N$3)*($C$9^($C$3-2*N$3-$E18))*($C$8^($E18+N$3)))),FACT($C$3)/(FACT(N$3)*FACT($C$3-2*N$3-$E18)*FACT($E18+N$3))*($C$10^N$3)*($C$9^($C$3-2*N$3-$E18))*($C$8^($E18+N$3)),0)</f>
        <v>0</v>
      </c>
      <c r="O18" s="5">
        <f>IF(NOT(ISERR(FACT($C$3)/(FACT(O$3)*FACT($C$3-2*O$3-$E18)*FACT($E18+O$3))*($C$10^O$3)*($C$9^($C$3-2*O$3-$E18))*($C$8^($E18+O$3)))),FACT($C$3)/(FACT(O$3)*FACT($C$3-2*O$3-$E18)*FACT($E18+O$3))*($C$10^O$3)*($C$9^($C$3-2*O$3-$E18))*($C$8^($E18+O$3)),0)</f>
        <v>0</v>
      </c>
      <c r="P18" s="5">
        <f>IF(NOT(ISERR(FACT($C$3)/(FACT(P$3)*FACT($C$3-2*P$3-$E18)*FACT($E18+P$3))*($C$10^P$3)*($C$9^($C$3-2*P$3-$E18))*($C$8^($E18+P$3)))),FACT($C$3)/(FACT(P$3)*FACT($C$3-2*P$3-$E18)*FACT($E18+P$3))*($C$10^P$3)*($C$9^($C$3-2*P$3-$E18))*($C$8^($E18+P$3)),0)</f>
        <v>0</v>
      </c>
      <c r="Q18" s="5">
        <f>IF(NOT(ISERR(FACT($C$3)/(FACT(Q$3)*FACT($C$3-2*Q$3-$E18)*FACT($E18+Q$3))*($C$10^Q$3)*($C$9^($C$3-2*Q$3-$E18))*($C$8^($E18+Q$3)))),FACT($C$3)/(FACT(Q$3)*FACT($C$3-2*Q$3-$E18)*FACT($E18+Q$3))*($C$10^Q$3)*($C$9^($C$3-2*Q$3-$E18))*($C$8^($E18+Q$3)),0)</f>
        <v>0</v>
      </c>
      <c r="R18" s="5">
        <f>IF(NOT(ISERR(FACT($C$3)/(FACT(R$3)*FACT($C$3-2*R$3-$E18)*FACT($E18+R$3))*($C$10^R$3)*($C$9^($C$3-2*R$3-$E18))*($C$8^($E18+R$3)))),FACT($C$3)/(FACT(R$3)*FACT($C$3-2*R$3-$E18)*FACT($E18+R$3))*($C$10^R$3)*($C$9^($C$3-2*R$3-$E18))*($C$8^($E18+R$3)),0)</f>
        <v>0</v>
      </c>
      <c r="S18" s="5">
        <f>IF(NOT(ISERR(FACT($C$3)/(FACT(S$3)*FACT($C$3-2*S$3-$E18)*FACT($E18+S$3))*($C$10^S$3)*($C$9^($C$3-2*S$3-$E18))*($C$8^($E18+S$3)))),FACT($C$3)/(FACT(S$3)*FACT($C$3-2*S$3-$E18)*FACT($E18+S$3))*($C$10^S$3)*($C$9^($C$3-2*S$3-$E18))*($C$8^($E18+S$3)),0)</f>
        <v>0</v>
      </c>
      <c r="T18" s="5">
        <f>IF(NOT(ISERR(FACT($C$3)/(FACT(T$3)*FACT($C$3-2*T$3-$E18)*FACT($E18+T$3))*($C$10^T$3)*($C$9^($C$3-2*T$3-$E18))*($C$8^($E18+T$3)))),FACT($C$3)/(FACT(T$3)*FACT($C$3-2*T$3-$E18)*FACT($E18+T$3))*($C$10^T$3)*($C$9^($C$3-2*T$3-$E18))*($C$8^($E18+T$3)),0)</f>
        <v>0</v>
      </c>
      <c r="U18" s="5">
        <f>IF(NOT(ISERR(FACT($C$3)/(FACT(U$3)*FACT($C$3-2*U$3-$E18)*FACT($E18+U$3))*($C$10^U$3)*($C$9^($C$3-2*U$3-$E18))*($C$8^($E18+U$3)))),FACT($C$3)/(FACT(U$3)*FACT($C$3-2*U$3-$E18)*FACT($E18+U$3))*($C$10^U$3)*($C$9^($C$3-2*U$3-$E18))*($C$8^($E18+U$3)),0)</f>
        <v>0</v>
      </c>
      <c r="V18" s="5">
        <f>IF(NOT(ISERR(FACT($C$3)/(FACT(V$3)*FACT($C$3-2*V$3-$E18)*FACT($E18+V$3))*($C$10^V$3)*($C$9^($C$3-2*V$3-$E18))*($C$8^($E18+V$3)))),FACT($C$3)/(FACT(V$3)*FACT($C$3-2*V$3-$E18)*FACT($E18+V$3))*($C$10^V$3)*($C$9^($C$3-2*V$3-$E18))*($C$8^($E18+V$3)),0)</f>
        <v>0</v>
      </c>
      <c r="W18" s="5">
        <f>IF(NOT(ISERR(FACT($C$3)/(FACT(W$3)*FACT($C$3-2*W$3-$E18)*FACT($E18+W$3))*($C$10^W$3)*($C$9^($C$3-2*W$3-$E18))*($C$8^($E18+W$3)))),FACT($C$3)/(FACT(W$3)*FACT($C$3-2*W$3-$E18)*FACT($E18+W$3))*($C$10^W$3)*($C$9^($C$3-2*W$3-$E18))*($C$8^($E18+W$3)),0)</f>
        <v>0</v>
      </c>
    </row>
    <row r="19" spans="5:23" x14ac:dyDescent="0.25">
      <c r="E19" s="4">
        <f t="shared" si="2"/>
        <v>7</v>
      </c>
      <c r="F19" s="6">
        <f t="shared" si="1"/>
        <v>2.5000000000000001E-2</v>
      </c>
      <c r="G19" s="1"/>
      <c r="H19" s="5">
        <f>IF(NOT(ISERR(FACT($C$3)/(FACT(H$3)*FACT($C$3-2*H$3-$E19)*FACT($E19+H$3))*($C$10^H$3)*($C$9^($C$3-2*H$3-$E19))*($C$8^($E19+H$3)))),FACT($C$3)/(FACT(H$3)*FACT($C$3-2*H$3-$E19)*FACT($E19+H$3))*($C$10^H$3)*($C$9^($C$3-2*H$3-$E19))*($C$8^($E19+H$3)),0)</f>
        <v>2.5000000000000001E-2</v>
      </c>
      <c r="I19" s="5">
        <f>IF(NOT(ISERR(FACT($C$3)/(FACT(I$3)*FACT($C$3-2*I$3-$E19)*FACT($E19+I$3))*($C$10^I$3)*($C$9^($C$3-2*I$3-$E19))*($C$8^($E19+I$3)))),FACT($C$3)/(FACT(I$3)*FACT($C$3-2*I$3-$E19)*FACT($E19+I$3))*($C$10^I$3)*($C$9^($C$3-2*I$3-$E19))*($C$8^($E19+I$3)),0)</f>
        <v>0</v>
      </c>
      <c r="J19" s="5">
        <f>IF(NOT(ISERR(FACT($C$3)/(FACT(J$3)*FACT($C$3-2*J$3-$E19)*FACT($E19+J$3))*($C$10^J$3)*($C$9^($C$3-2*J$3-$E19))*($C$8^($E19+J$3)))),FACT($C$3)/(FACT(J$3)*FACT($C$3-2*J$3-$E19)*FACT($E19+J$3))*($C$10^J$3)*($C$9^($C$3-2*J$3-$E19))*($C$8^($E19+J$3)),0)</f>
        <v>0</v>
      </c>
      <c r="K19" s="5">
        <f>IF(NOT(ISERR(FACT($C$3)/(FACT(K$3)*FACT($C$3-2*K$3-$E19)*FACT($E19+K$3))*($C$10^K$3)*($C$9^($C$3-2*K$3-$E19))*($C$8^($E19+K$3)))),FACT($C$3)/(FACT(K$3)*FACT($C$3-2*K$3-$E19)*FACT($E19+K$3))*($C$10^K$3)*($C$9^($C$3-2*K$3-$E19))*($C$8^($E19+K$3)),0)</f>
        <v>0</v>
      </c>
      <c r="L19" s="5">
        <f>IF(NOT(ISERR(FACT($C$3)/(FACT(L$3)*FACT($C$3-2*L$3-$E19)*FACT($E19+L$3))*($C$10^L$3)*($C$9^($C$3-2*L$3-$E19))*($C$8^($E19+L$3)))),FACT($C$3)/(FACT(L$3)*FACT($C$3-2*L$3-$E19)*FACT($E19+L$3))*($C$10^L$3)*($C$9^($C$3-2*L$3-$E19))*($C$8^($E19+L$3)),0)</f>
        <v>0</v>
      </c>
      <c r="M19" s="5">
        <f>IF(NOT(ISERR(FACT($C$3)/(FACT(M$3)*FACT($C$3-2*M$3-$E19)*FACT($E19+M$3))*($C$10^M$3)*($C$9^($C$3-2*M$3-$E19))*($C$8^($E19+M$3)))),FACT($C$3)/(FACT(M$3)*FACT($C$3-2*M$3-$E19)*FACT($E19+M$3))*($C$10^M$3)*($C$9^($C$3-2*M$3-$E19))*($C$8^($E19+M$3)),0)</f>
        <v>0</v>
      </c>
      <c r="N19" s="5">
        <f>IF(NOT(ISERR(FACT($C$3)/(FACT(N$3)*FACT($C$3-2*N$3-$E19)*FACT($E19+N$3))*($C$10^N$3)*($C$9^($C$3-2*N$3-$E19))*($C$8^($E19+N$3)))),FACT($C$3)/(FACT(N$3)*FACT($C$3-2*N$3-$E19)*FACT($E19+N$3))*($C$10^N$3)*($C$9^($C$3-2*N$3-$E19))*($C$8^($E19+N$3)),0)</f>
        <v>0</v>
      </c>
      <c r="O19" s="5">
        <f>IF(NOT(ISERR(FACT($C$3)/(FACT(O$3)*FACT($C$3-2*O$3-$E19)*FACT($E19+O$3))*($C$10^O$3)*($C$9^($C$3-2*O$3-$E19))*($C$8^($E19+O$3)))),FACT($C$3)/(FACT(O$3)*FACT($C$3-2*O$3-$E19)*FACT($E19+O$3))*($C$10^O$3)*($C$9^($C$3-2*O$3-$E19))*($C$8^($E19+O$3)),0)</f>
        <v>0</v>
      </c>
      <c r="P19" s="5">
        <f>IF(NOT(ISERR(FACT($C$3)/(FACT(P$3)*FACT($C$3-2*P$3-$E19)*FACT($E19+P$3))*($C$10^P$3)*($C$9^($C$3-2*P$3-$E19))*($C$8^($E19+P$3)))),FACT($C$3)/(FACT(P$3)*FACT($C$3-2*P$3-$E19)*FACT($E19+P$3))*($C$10^P$3)*($C$9^($C$3-2*P$3-$E19))*($C$8^($E19+P$3)),0)</f>
        <v>0</v>
      </c>
      <c r="Q19" s="5">
        <f>IF(NOT(ISERR(FACT($C$3)/(FACT(Q$3)*FACT($C$3-2*Q$3-$E19)*FACT($E19+Q$3))*($C$10^Q$3)*($C$9^($C$3-2*Q$3-$E19))*($C$8^($E19+Q$3)))),FACT($C$3)/(FACT(Q$3)*FACT($C$3-2*Q$3-$E19)*FACT($E19+Q$3))*($C$10^Q$3)*($C$9^($C$3-2*Q$3-$E19))*($C$8^($E19+Q$3)),0)</f>
        <v>0</v>
      </c>
      <c r="R19" s="5">
        <f>IF(NOT(ISERR(FACT($C$3)/(FACT(R$3)*FACT($C$3-2*R$3-$E19)*FACT($E19+R$3))*($C$10^R$3)*($C$9^($C$3-2*R$3-$E19))*($C$8^($E19+R$3)))),FACT($C$3)/(FACT(R$3)*FACT($C$3-2*R$3-$E19)*FACT($E19+R$3))*($C$10^R$3)*($C$9^($C$3-2*R$3-$E19))*($C$8^($E19+R$3)),0)</f>
        <v>0</v>
      </c>
      <c r="S19" s="5">
        <f>IF(NOT(ISERR(FACT($C$3)/(FACT(S$3)*FACT($C$3-2*S$3-$E19)*FACT($E19+S$3))*($C$10^S$3)*($C$9^($C$3-2*S$3-$E19))*($C$8^($E19+S$3)))),FACT($C$3)/(FACT(S$3)*FACT($C$3-2*S$3-$E19)*FACT($E19+S$3))*($C$10^S$3)*($C$9^($C$3-2*S$3-$E19))*($C$8^($E19+S$3)),0)</f>
        <v>0</v>
      </c>
      <c r="T19" s="5">
        <f>IF(NOT(ISERR(FACT($C$3)/(FACT(T$3)*FACT($C$3-2*T$3-$E19)*FACT($E19+T$3))*($C$10^T$3)*($C$9^($C$3-2*T$3-$E19))*($C$8^($E19+T$3)))),FACT($C$3)/(FACT(T$3)*FACT($C$3-2*T$3-$E19)*FACT($E19+T$3))*($C$10^T$3)*($C$9^($C$3-2*T$3-$E19))*($C$8^($E19+T$3)),0)</f>
        <v>0</v>
      </c>
      <c r="U19" s="5">
        <f>IF(NOT(ISERR(FACT($C$3)/(FACT(U$3)*FACT($C$3-2*U$3-$E19)*FACT($E19+U$3))*($C$10^U$3)*($C$9^($C$3-2*U$3-$E19))*($C$8^($E19+U$3)))),FACT($C$3)/(FACT(U$3)*FACT($C$3-2*U$3-$E19)*FACT($E19+U$3))*($C$10^U$3)*($C$9^($C$3-2*U$3-$E19))*($C$8^($E19+U$3)),0)</f>
        <v>0</v>
      </c>
      <c r="V19" s="5">
        <f>IF(NOT(ISERR(FACT($C$3)/(FACT(V$3)*FACT($C$3-2*V$3-$E19)*FACT($E19+V$3))*($C$10^V$3)*($C$9^($C$3-2*V$3-$E19))*($C$8^($E19+V$3)))),FACT($C$3)/(FACT(V$3)*FACT($C$3-2*V$3-$E19)*FACT($E19+V$3))*($C$10^V$3)*($C$9^($C$3-2*V$3-$E19))*($C$8^($E19+V$3)),0)</f>
        <v>0</v>
      </c>
      <c r="W19" s="5">
        <f>IF(NOT(ISERR(FACT($C$3)/(FACT(W$3)*FACT($C$3-2*W$3-$E19)*FACT($E19+W$3))*($C$10^W$3)*($C$9^($C$3-2*W$3-$E19))*($C$8^($E19+W$3)))),FACT($C$3)/(FACT(W$3)*FACT($C$3-2*W$3-$E19)*FACT($E19+W$3))*($C$10^W$3)*($C$9^($C$3-2*W$3-$E19))*($C$8^($E19+W$3)),0)</f>
        <v>0</v>
      </c>
    </row>
    <row r="20" spans="5:23" x14ac:dyDescent="0.25">
      <c r="E20" s="4">
        <f t="shared" si="2"/>
        <v>8</v>
      </c>
      <c r="F20" s="6">
        <f t="shared" si="1"/>
        <v>3.90625E-3</v>
      </c>
      <c r="G20" s="1"/>
      <c r="H20" s="5">
        <f>IF(NOT(ISERR(FACT($C$3)/(FACT(H$3)*FACT($C$3-2*H$3-$E20)*FACT($E20+H$3))*($C$10^H$3)*($C$9^($C$3-2*H$3-$E20))*($C$8^($E20+H$3)))),FACT($C$3)/(FACT(H$3)*FACT($C$3-2*H$3-$E20)*FACT($E20+H$3))*($C$10^H$3)*($C$9^($C$3-2*H$3-$E20))*($C$8^($E20+H$3)),0)</f>
        <v>3.90625E-3</v>
      </c>
      <c r="I20" s="5">
        <f>IF(NOT(ISERR(FACT($C$3)/(FACT(I$3)*FACT($C$3-2*I$3-$E20)*FACT($E20+I$3))*($C$10^I$3)*($C$9^($C$3-2*I$3-$E20))*($C$8^($E20+I$3)))),FACT($C$3)/(FACT(I$3)*FACT($C$3-2*I$3-$E20)*FACT($E20+I$3))*($C$10^I$3)*($C$9^($C$3-2*I$3-$E20))*($C$8^($E20+I$3)),0)</f>
        <v>0</v>
      </c>
      <c r="J20" s="5">
        <f>IF(NOT(ISERR(FACT($C$3)/(FACT(J$3)*FACT($C$3-2*J$3-$E20)*FACT($E20+J$3))*($C$10^J$3)*($C$9^($C$3-2*J$3-$E20))*($C$8^($E20+J$3)))),FACT($C$3)/(FACT(J$3)*FACT($C$3-2*J$3-$E20)*FACT($E20+J$3))*($C$10^J$3)*($C$9^($C$3-2*J$3-$E20))*($C$8^($E20+J$3)),0)</f>
        <v>0</v>
      </c>
      <c r="K20" s="5">
        <f>IF(NOT(ISERR(FACT($C$3)/(FACT(K$3)*FACT($C$3-2*K$3-$E20)*FACT($E20+K$3))*($C$10^K$3)*($C$9^($C$3-2*K$3-$E20))*($C$8^($E20+K$3)))),FACT($C$3)/(FACT(K$3)*FACT($C$3-2*K$3-$E20)*FACT($E20+K$3))*($C$10^K$3)*($C$9^($C$3-2*K$3-$E20))*($C$8^($E20+K$3)),0)</f>
        <v>0</v>
      </c>
      <c r="L20" s="5">
        <f>IF(NOT(ISERR(FACT($C$3)/(FACT(L$3)*FACT($C$3-2*L$3-$E20)*FACT($E20+L$3))*($C$10^L$3)*($C$9^($C$3-2*L$3-$E20))*($C$8^($E20+L$3)))),FACT($C$3)/(FACT(L$3)*FACT($C$3-2*L$3-$E20)*FACT($E20+L$3))*($C$10^L$3)*($C$9^($C$3-2*L$3-$E20))*($C$8^($E20+L$3)),0)</f>
        <v>0</v>
      </c>
      <c r="M20" s="5">
        <f>IF(NOT(ISERR(FACT($C$3)/(FACT(M$3)*FACT($C$3-2*M$3-$E20)*FACT($E20+M$3))*($C$10^M$3)*($C$9^($C$3-2*M$3-$E20))*($C$8^($E20+M$3)))),FACT($C$3)/(FACT(M$3)*FACT($C$3-2*M$3-$E20)*FACT($E20+M$3))*($C$10^M$3)*($C$9^($C$3-2*M$3-$E20))*($C$8^($E20+M$3)),0)</f>
        <v>0</v>
      </c>
      <c r="N20" s="5">
        <f>IF(NOT(ISERR(FACT($C$3)/(FACT(N$3)*FACT($C$3-2*N$3-$E20)*FACT($E20+N$3))*($C$10^N$3)*($C$9^($C$3-2*N$3-$E20))*($C$8^($E20+N$3)))),FACT($C$3)/(FACT(N$3)*FACT($C$3-2*N$3-$E20)*FACT($E20+N$3))*($C$10^N$3)*($C$9^($C$3-2*N$3-$E20))*($C$8^($E20+N$3)),0)</f>
        <v>0</v>
      </c>
      <c r="O20" s="5">
        <f>IF(NOT(ISERR(FACT($C$3)/(FACT(O$3)*FACT($C$3-2*O$3-$E20)*FACT($E20+O$3))*($C$10^O$3)*($C$9^($C$3-2*O$3-$E20))*($C$8^($E20+O$3)))),FACT($C$3)/(FACT(O$3)*FACT($C$3-2*O$3-$E20)*FACT($E20+O$3))*($C$10^O$3)*($C$9^($C$3-2*O$3-$E20))*($C$8^($E20+O$3)),0)</f>
        <v>0</v>
      </c>
      <c r="P20" s="5">
        <f>IF(NOT(ISERR(FACT($C$3)/(FACT(P$3)*FACT($C$3-2*P$3-$E20)*FACT($E20+P$3))*($C$10^P$3)*($C$9^($C$3-2*P$3-$E20))*($C$8^($E20+P$3)))),FACT($C$3)/(FACT(P$3)*FACT($C$3-2*P$3-$E20)*FACT($E20+P$3))*($C$10^P$3)*($C$9^($C$3-2*P$3-$E20))*($C$8^($E20+P$3)),0)</f>
        <v>0</v>
      </c>
      <c r="Q20" s="5">
        <f>IF(NOT(ISERR(FACT($C$3)/(FACT(Q$3)*FACT($C$3-2*Q$3-$E20)*FACT($E20+Q$3))*($C$10^Q$3)*($C$9^($C$3-2*Q$3-$E20))*($C$8^($E20+Q$3)))),FACT($C$3)/(FACT(Q$3)*FACT($C$3-2*Q$3-$E20)*FACT($E20+Q$3))*($C$10^Q$3)*($C$9^($C$3-2*Q$3-$E20))*($C$8^($E20+Q$3)),0)</f>
        <v>0</v>
      </c>
      <c r="R20" s="5">
        <f>IF(NOT(ISERR(FACT($C$3)/(FACT(R$3)*FACT($C$3-2*R$3-$E20)*FACT($E20+R$3))*($C$10^R$3)*($C$9^($C$3-2*R$3-$E20))*($C$8^($E20+R$3)))),FACT($C$3)/(FACT(R$3)*FACT($C$3-2*R$3-$E20)*FACT($E20+R$3))*($C$10^R$3)*($C$9^($C$3-2*R$3-$E20))*($C$8^($E20+R$3)),0)</f>
        <v>0</v>
      </c>
      <c r="S20" s="5">
        <f>IF(NOT(ISERR(FACT($C$3)/(FACT(S$3)*FACT($C$3-2*S$3-$E20)*FACT($E20+S$3))*($C$10^S$3)*($C$9^($C$3-2*S$3-$E20))*($C$8^($E20+S$3)))),FACT($C$3)/(FACT(S$3)*FACT($C$3-2*S$3-$E20)*FACT($E20+S$3))*($C$10^S$3)*($C$9^($C$3-2*S$3-$E20))*($C$8^($E20+S$3)),0)</f>
        <v>0</v>
      </c>
      <c r="T20" s="5">
        <f>IF(NOT(ISERR(FACT($C$3)/(FACT(T$3)*FACT($C$3-2*T$3-$E20)*FACT($E20+T$3))*($C$10^T$3)*($C$9^($C$3-2*T$3-$E20))*($C$8^($E20+T$3)))),FACT($C$3)/(FACT(T$3)*FACT($C$3-2*T$3-$E20)*FACT($E20+T$3))*($C$10^T$3)*($C$9^($C$3-2*T$3-$E20))*($C$8^($E20+T$3)),0)</f>
        <v>0</v>
      </c>
      <c r="U20" s="5">
        <f>IF(NOT(ISERR(FACT($C$3)/(FACT(U$3)*FACT($C$3-2*U$3-$E20)*FACT($E20+U$3))*($C$10^U$3)*($C$9^($C$3-2*U$3-$E20))*($C$8^($E20+U$3)))),FACT($C$3)/(FACT(U$3)*FACT($C$3-2*U$3-$E20)*FACT($E20+U$3))*($C$10^U$3)*($C$9^($C$3-2*U$3-$E20))*($C$8^($E20+U$3)),0)</f>
        <v>0</v>
      </c>
      <c r="V20" s="5">
        <f>IF(NOT(ISERR(FACT($C$3)/(FACT(V$3)*FACT($C$3-2*V$3-$E20)*FACT($E20+V$3))*($C$10^V$3)*($C$9^($C$3-2*V$3-$E20))*($C$8^($E20+V$3)))),FACT($C$3)/(FACT(V$3)*FACT($C$3-2*V$3-$E20)*FACT($E20+V$3))*($C$10^V$3)*($C$9^($C$3-2*V$3-$E20))*($C$8^($E20+V$3)),0)</f>
        <v>0</v>
      </c>
      <c r="W20" s="5">
        <f>IF(NOT(ISERR(FACT($C$3)/(FACT(W$3)*FACT($C$3-2*W$3-$E20)*FACT($E20+W$3))*($C$10^W$3)*($C$9^($C$3-2*W$3-$E20))*($C$8^($E20+W$3)))),FACT($C$3)/(FACT(W$3)*FACT($C$3-2*W$3-$E20)*FACT($E20+W$3))*($C$10^W$3)*($C$9^($C$3-2*W$3-$E20))*($C$8^($E20+W$3)),0)</f>
        <v>0</v>
      </c>
    </row>
    <row r="21" spans="5:23" x14ac:dyDescent="0.25">
      <c r="E21" s="4">
        <f t="shared" si="2"/>
        <v>9</v>
      </c>
      <c r="F21" s="6">
        <f t="shared" si="1"/>
        <v>0</v>
      </c>
      <c r="G21" s="1"/>
      <c r="H21" s="5">
        <f>IF(NOT(ISERR(FACT($C$3)/(FACT(H$3)*FACT($C$3-2*H$3-$E21)*FACT($E21+H$3))*($C$10^H$3)*($C$9^($C$3-2*H$3-$E21))*($C$8^($E21+H$3)))),FACT($C$3)/(FACT(H$3)*FACT($C$3-2*H$3-$E21)*FACT($E21+H$3))*($C$10^H$3)*($C$9^($C$3-2*H$3-$E21))*($C$8^($E21+H$3)),0)</f>
        <v>0</v>
      </c>
      <c r="I21" s="5">
        <f>IF(NOT(ISERR(FACT($C$3)/(FACT(I$3)*FACT($C$3-2*I$3-$E21)*FACT($E21+I$3))*($C$10^I$3)*($C$9^($C$3-2*I$3-$E21))*($C$8^($E21+I$3)))),FACT($C$3)/(FACT(I$3)*FACT($C$3-2*I$3-$E21)*FACT($E21+I$3))*($C$10^I$3)*($C$9^($C$3-2*I$3-$E21))*($C$8^($E21+I$3)),0)</f>
        <v>0</v>
      </c>
      <c r="J21" s="5">
        <f>IF(NOT(ISERR(FACT($C$3)/(FACT(J$3)*FACT($C$3-2*J$3-$E21)*FACT($E21+J$3))*($C$10^J$3)*($C$9^($C$3-2*J$3-$E21))*($C$8^($E21+J$3)))),FACT($C$3)/(FACT(J$3)*FACT($C$3-2*J$3-$E21)*FACT($E21+J$3))*($C$10^J$3)*($C$9^($C$3-2*J$3-$E21))*($C$8^($E21+J$3)),0)</f>
        <v>0</v>
      </c>
      <c r="K21" s="5">
        <f>IF(NOT(ISERR(FACT($C$3)/(FACT(K$3)*FACT($C$3-2*K$3-$E21)*FACT($E21+K$3))*($C$10^K$3)*($C$9^($C$3-2*K$3-$E21))*($C$8^($E21+K$3)))),FACT($C$3)/(FACT(K$3)*FACT($C$3-2*K$3-$E21)*FACT($E21+K$3))*($C$10^K$3)*($C$9^($C$3-2*K$3-$E21))*($C$8^($E21+K$3)),0)</f>
        <v>0</v>
      </c>
      <c r="L21" s="5">
        <f>IF(NOT(ISERR(FACT($C$3)/(FACT(L$3)*FACT($C$3-2*L$3-$E21)*FACT($E21+L$3))*($C$10^L$3)*($C$9^($C$3-2*L$3-$E21))*($C$8^($E21+L$3)))),FACT($C$3)/(FACT(L$3)*FACT($C$3-2*L$3-$E21)*FACT($E21+L$3))*($C$10^L$3)*($C$9^($C$3-2*L$3-$E21))*($C$8^($E21+L$3)),0)</f>
        <v>0</v>
      </c>
      <c r="M21" s="5">
        <f>IF(NOT(ISERR(FACT($C$3)/(FACT(M$3)*FACT($C$3-2*M$3-$E21)*FACT($E21+M$3))*($C$10^M$3)*($C$9^($C$3-2*M$3-$E21))*($C$8^($E21+M$3)))),FACT($C$3)/(FACT(M$3)*FACT($C$3-2*M$3-$E21)*FACT($E21+M$3))*($C$10^M$3)*($C$9^($C$3-2*M$3-$E21))*($C$8^($E21+M$3)),0)</f>
        <v>0</v>
      </c>
      <c r="N21" s="5">
        <f>IF(NOT(ISERR(FACT($C$3)/(FACT(N$3)*FACT($C$3-2*N$3-$E21)*FACT($E21+N$3))*($C$10^N$3)*($C$9^($C$3-2*N$3-$E21))*($C$8^($E21+N$3)))),FACT($C$3)/(FACT(N$3)*FACT($C$3-2*N$3-$E21)*FACT($E21+N$3))*($C$10^N$3)*($C$9^($C$3-2*N$3-$E21))*($C$8^($E21+N$3)),0)</f>
        <v>0</v>
      </c>
      <c r="O21" s="5">
        <f>IF(NOT(ISERR(FACT($C$3)/(FACT(O$3)*FACT($C$3-2*O$3-$E21)*FACT($E21+O$3))*($C$10^O$3)*($C$9^($C$3-2*O$3-$E21))*($C$8^($E21+O$3)))),FACT($C$3)/(FACT(O$3)*FACT($C$3-2*O$3-$E21)*FACT($E21+O$3))*($C$10^O$3)*($C$9^($C$3-2*O$3-$E21))*($C$8^($E21+O$3)),0)</f>
        <v>0</v>
      </c>
      <c r="P21" s="5">
        <f>IF(NOT(ISERR(FACT($C$3)/(FACT(P$3)*FACT($C$3-2*P$3-$E21)*FACT($E21+P$3))*($C$10^P$3)*($C$9^($C$3-2*P$3-$E21))*($C$8^($E21+P$3)))),FACT($C$3)/(FACT(P$3)*FACT($C$3-2*P$3-$E21)*FACT($E21+P$3))*($C$10^P$3)*($C$9^($C$3-2*P$3-$E21))*($C$8^($E21+P$3)),0)</f>
        <v>0</v>
      </c>
      <c r="Q21" s="5">
        <f>IF(NOT(ISERR(FACT($C$3)/(FACT(Q$3)*FACT($C$3-2*Q$3-$E21)*FACT($E21+Q$3))*($C$10^Q$3)*($C$9^($C$3-2*Q$3-$E21))*($C$8^($E21+Q$3)))),FACT($C$3)/(FACT(Q$3)*FACT($C$3-2*Q$3-$E21)*FACT($E21+Q$3))*($C$10^Q$3)*($C$9^($C$3-2*Q$3-$E21))*($C$8^($E21+Q$3)),0)</f>
        <v>0</v>
      </c>
      <c r="R21" s="5">
        <f>IF(NOT(ISERR(FACT($C$3)/(FACT(R$3)*FACT($C$3-2*R$3-$E21)*FACT($E21+R$3))*($C$10^R$3)*($C$9^($C$3-2*R$3-$E21))*($C$8^($E21+R$3)))),FACT($C$3)/(FACT(R$3)*FACT($C$3-2*R$3-$E21)*FACT($E21+R$3))*($C$10^R$3)*($C$9^($C$3-2*R$3-$E21))*($C$8^($E21+R$3)),0)</f>
        <v>0</v>
      </c>
      <c r="S21" s="5">
        <f>IF(NOT(ISERR(FACT($C$3)/(FACT(S$3)*FACT($C$3-2*S$3-$E21)*FACT($E21+S$3))*($C$10^S$3)*($C$9^($C$3-2*S$3-$E21))*($C$8^($E21+S$3)))),FACT($C$3)/(FACT(S$3)*FACT($C$3-2*S$3-$E21)*FACT($E21+S$3))*($C$10^S$3)*($C$9^($C$3-2*S$3-$E21))*($C$8^($E21+S$3)),0)</f>
        <v>0</v>
      </c>
      <c r="T21" s="5">
        <f>IF(NOT(ISERR(FACT($C$3)/(FACT(T$3)*FACT($C$3-2*T$3-$E21)*FACT($E21+T$3))*($C$10^T$3)*($C$9^($C$3-2*T$3-$E21))*($C$8^($E21+T$3)))),FACT($C$3)/(FACT(T$3)*FACT($C$3-2*T$3-$E21)*FACT($E21+T$3))*($C$10^T$3)*($C$9^($C$3-2*T$3-$E21))*($C$8^($E21+T$3)),0)</f>
        <v>0</v>
      </c>
      <c r="U21" s="5">
        <f>IF(NOT(ISERR(FACT($C$3)/(FACT(U$3)*FACT($C$3-2*U$3-$E21)*FACT($E21+U$3))*($C$10^U$3)*($C$9^($C$3-2*U$3-$E21))*($C$8^($E21+U$3)))),FACT($C$3)/(FACT(U$3)*FACT($C$3-2*U$3-$E21)*FACT($E21+U$3))*($C$10^U$3)*($C$9^($C$3-2*U$3-$E21))*($C$8^($E21+U$3)),0)</f>
        <v>0</v>
      </c>
      <c r="V21" s="5">
        <f>IF(NOT(ISERR(FACT($C$3)/(FACT(V$3)*FACT($C$3-2*V$3-$E21)*FACT($E21+V$3))*($C$10^V$3)*($C$9^($C$3-2*V$3-$E21))*($C$8^($E21+V$3)))),FACT($C$3)/(FACT(V$3)*FACT($C$3-2*V$3-$E21)*FACT($E21+V$3))*($C$10^V$3)*($C$9^($C$3-2*V$3-$E21))*($C$8^($E21+V$3)),0)</f>
        <v>0</v>
      </c>
      <c r="W21" s="5">
        <f>IF(NOT(ISERR(FACT($C$3)/(FACT(W$3)*FACT($C$3-2*W$3-$E21)*FACT($E21+W$3))*($C$10^W$3)*($C$9^($C$3-2*W$3-$E21))*($C$8^($E21+W$3)))),FACT($C$3)/(FACT(W$3)*FACT($C$3-2*W$3-$E21)*FACT($E21+W$3))*($C$10^W$3)*($C$9^($C$3-2*W$3-$E21))*($C$8^($E21+W$3)),0)</f>
        <v>0</v>
      </c>
    </row>
    <row r="22" spans="5:23" x14ac:dyDescent="0.25">
      <c r="E22" s="4">
        <f t="shared" si="2"/>
        <v>10</v>
      </c>
      <c r="F22" s="6">
        <f t="shared" si="1"/>
        <v>0</v>
      </c>
      <c r="G22" s="1"/>
      <c r="H22" s="5">
        <f>IF(NOT(ISERR(FACT($C$3)/(FACT(H$3)*FACT($C$3-2*H$3-$E22)*FACT($E22+H$3))*($C$10^H$3)*($C$9^($C$3-2*H$3-$E22))*($C$8^($E22+H$3)))),FACT($C$3)/(FACT(H$3)*FACT($C$3-2*H$3-$E22)*FACT($E22+H$3))*($C$10^H$3)*($C$9^($C$3-2*H$3-$E22))*($C$8^($E22+H$3)),0)</f>
        <v>0</v>
      </c>
      <c r="I22" s="5">
        <f>IF(NOT(ISERR(FACT($C$3)/(FACT(I$3)*FACT($C$3-2*I$3-$E22)*FACT($E22+I$3))*($C$10^I$3)*($C$9^($C$3-2*I$3-$E22))*($C$8^($E22+I$3)))),FACT($C$3)/(FACT(I$3)*FACT($C$3-2*I$3-$E22)*FACT($E22+I$3))*($C$10^I$3)*($C$9^($C$3-2*I$3-$E22))*($C$8^($E22+I$3)),0)</f>
        <v>0</v>
      </c>
      <c r="J22" s="5">
        <f>IF(NOT(ISERR(FACT($C$3)/(FACT(J$3)*FACT($C$3-2*J$3-$E22)*FACT($E22+J$3))*($C$10^J$3)*($C$9^($C$3-2*J$3-$E22))*($C$8^($E22+J$3)))),FACT($C$3)/(FACT(J$3)*FACT($C$3-2*J$3-$E22)*FACT($E22+J$3))*($C$10^J$3)*($C$9^($C$3-2*J$3-$E22))*($C$8^($E22+J$3)),0)</f>
        <v>0</v>
      </c>
      <c r="K22" s="5">
        <f>IF(NOT(ISERR(FACT($C$3)/(FACT(K$3)*FACT($C$3-2*K$3-$E22)*FACT($E22+K$3))*($C$10^K$3)*($C$9^($C$3-2*K$3-$E22))*($C$8^($E22+K$3)))),FACT($C$3)/(FACT(K$3)*FACT($C$3-2*K$3-$E22)*FACT($E22+K$3))*($C$10^K$3)*($C$9^($C$3-2*K$3-$E22))*($C$8^($E22+K$3)),0)</f>
        <v>0</v>
      </c>
      <c r="L22" s="5">
        <f>IF(NOT(ISERR(FACT($C$3)/(FACT(L$3)*FACT($C$3-2*L$3-$E22)*FACT($E22+L$3))*($C$10^L$3)*($C$9^($C$3-2*L$3-$E22))*($C$8^($E22+L$3)))),FACT($C$3)/(FACT(L$3)*FACT($C$3-2*L$3-$E22)*FACT($E22+L$3))*($C$10^L$3)*($C$9^($C$3-2*L$3-$E22))*($C$8^($E22+L$3)),0)</f>
        <v>0</v>
      </c>
      <c r="M22" s="5">
        <f>IF(NOT(ISERR(FACT($C$3)/(FACT(M$3)*FACT($C$3-2*M$3-$E22)*FACT($E22+M$3))*($C$10^M$3)*($C$9^($C$3-2*M$3-$E22))*($C$8^($E22+M$3)))),FACT($C$3)/(FACT(M$3)*FACT($C$3-2*M$3-$E22)*FACT($E22+M$3))*($C$10^M$3)*($C$9^($C$3-2*M$3-$E22))*($C$8^($E22+M$3)),0)</f>
        <v>0</v>
      </c>
      <c r="N22" s="5">
        <f>IF(NOT(ISERR(FACT($C$3)/(FACT(N$3)*FACT($C$3-2*N$3-$E22)*FACT($E22+N$3))*($C$10^N$3)*($C$9^($C$3-2*N$3-$E22))*($C$8^($E22+N$3)))),FACT($C$3)/(FACT(N$3)*FACT($C$3-2*N$3-$E22)*FACT($E22+N$3))*($C$10^N$3)*($C$9^($C$3-2*N$3-$E22))*($C$8^($E22+N$3)),0)</f>
        <v>0</v>
      </c>
      <c r="O22" s="5">
        <f>IF(NOT(ISERR(FACT($C$3)/(FACT(O$3)*FACT($C$3-2*O$3-$E22)*FACT($E22+O$3))*($C$10^O$3)*($C$9^($C$3-2*O$3-$E22))*($C$8^($E22+O$3)))),FACT($C$3)/(FACT(O$3)*FACT($C$3-2*O$3-$E22)*FACT($E22+O$3))*($C$10^O$3)*($C$9^($C$3-2*O$3-$E22))*($C$8^($E22+O$3)),0)</f>
        <v>0</v>
      </c>
      <c r="P22" s="5">
        <f>IF(NOT(ISERR(FACT($C$3)/(FACT(P$3)*FACT($C$3-2*P$3-$E22)*FACT($E22+P$3))*($C$10^P$3)*($C$9^($C$3-2*P$3-$E22))*($C$8^($E22+P$3)))),FACT($C$3)/(FACT(P$3)*FACT($C$3-2*P$3-$E22)*FACT($E22+P$3))*($C$10^P$3)*($C$9^($C$3-2*P$3-$E22))*($C$8^($E22+P$3)),0)</f>
        <v>0</v>
      </c>
      <c r="Q22" s="5">
        <f>IF(NOT(ISERR(FACT($C$3)/(FACT(Q$3)*FACT($C$3-2*Q$3-$E22)*FACT($E22+Q$3))*($C$10^Q$3)*($C$9^($C$3-2*Q$3-$E22))*($C$8^($E22+Q$3)))),FACT($C$3)/(FACT(Q$3)*FACT($C$3-2*Q$3-$E22)*FACT($E22+Q$3))*($C$10^Q$3)*($C$9^($C$3-2*Q$3-$E22))*($C$8^($E22+Q$3)),0)</f>
        <v>0</v>
      </c>
      <c r="R22" s="5">
        <f>IF(NOT(ISERR(FACT($C$3)/(FACT(R$3)*FACT($C$3-2*R$3-$E22)*FACT($E22+R$3))*($C$10^R$3)*($C$9^($C$3-2*R$3-$E22))*($C$8^($E22+R$3)))),FACT($C$3)/(FACT(R$3)*FACT($C$3-2*R$3-$E22)*FACT($E22+R$3))*($C$10^R$3)*($C$9^($C$3-2*R$3-$E22))*($C$8^($E22+R$3)),0)</f>
        <v>0</v>
      </c>
      <c r="S22" s="5">
        <f>IF(NOT(ISERR(FACT($C$3)/(FACT(S$3)*FACT($C$3-2*S$3-$E22)*FACT($E22+S$3))*($C$10^S$3)*($C$9^($C$3-2*S$3-$E22))*($C$8^($E22+S$3)))),FACT($C$3)/(FACT(S$3)*FACT($C$3-2*S$3-$E22)*FACT($E22+S$3))*($C$10^S$3)*($C$9^($C$3-2*S$3-$E22))*($C$8^($E22+S$3)),0)</f>
        <v>0</v>
      </c>
      <c r="T22" s="5">
        <f>IF(NOT(ISERR(FACT($C$3)/(FACT(T$3)*FACT($C$3-2*T$3-$E22)*FACT($E22+T$3))*($C$10^T$3)*($C$9^($C$3-2*T$3-$E22))*($C$8^($E22+T$3)))),FACT($C$3)/(FACT(T$3)*FACT($C$3-2*T$3-$E22)*FACT($E22+T$3))*($C$10^T$3)*($C$9^($C$3-2*T$3-$E22))*($C$8^($E22+T$3)),0)</f>
        <v>0</v>
      </c>
      <c r="U22" s="5">
        <f>IF(NOT(ISERR(FACT($C$3)/(FACT(U$3)*FACT($C$3-2*U$3-$E22)*FACT($E22+U$3))*($C$10^U$3)*($C$9^($C$3-2*U$3-$E22))*($C$8^($E22+U$3)))),FACT($C$3)/(FACT(U$3)*FACT($C$3-2*U$3-$E22)*FACT($E22+U$3))*($C$10^U$3)*($C$9^($C$3-2*U$3-$E22))*($C$8^($E22+U$3)),0)</f>
        <v>0</v>
      </c>
      <c r="V22" s="5">
        <f>IF(NOT(ISERR(FACT($C$3)/(FACT(V$3)*FACT($C$3-2*V$3-$E22)*FACT($E22+V$3))*($C$10^V$3)*($C$9^($C$3-2*V$3-$E22))*($C$8^($E22+V$3)))),FACT($C$3)/(FACT(V$3)*FACT($C$3-2*V$3-$E22)*FACT($E22+V$3))*($C$10^V$3)*($C$9^($C$3-2*V$3-$E22))*($C$8^($E22+V$3)),0)</f>
        <v>0</v>
      </c>
      <c r="W22" s="5">
        <f>IF(NOT(ISERR(FACT($C$3)/(FACT(W$3)*FACT($C$3-2*W$3-$E22)*FACT($E22+W$3))*($C$10^W$3)*($C$9^($C$3-2*W$3-$E22))*($C$8^($E22+W$3)))),FACT($C$3)/(FACT(W$3)*FACT($C$3-2*W$3-$E22)*FACT($E22+W$3))*($C$10^W$3)*($C$9^($C$3-2*W$3-$E22))*($C$8^($E22+W$3)),0)</f>
        <v>0</v>
      </c>
    </row>
    <row r="23" spans="5:23" x14ac:dyDescent="0.25">
      <c r="E23" s="4">
        <f t="shared" si="2"/>
        <v>11</v>
      </c>
      <c r="F23" s="6">
        <f t="shared" si="1"/>
        <v>0</v>
      </c>
      <c r="G23" s="1"/>
      <c r="H23" s="5">
        <f>IF(NOT(ISERR(FACT($C$3)/(FACT(H$3)*FACT($C$3-2*H$3-$E23)*FACT($E23+H$3))*($C$10^H$3)*($C$9^($C$3-2*H$3-$E23))*($C$8^($E23+H$3)))),FACT($C$3)/(FACT(H$3)*FACT($C$3-2*H$3-$E23)*FACT($E23+H$3))*($C$10^H$3)*($C$9^($C$3-2*H$3-$E23))*($C$8^($E23+H$3)),0)</f>
        <v>0</v>
      </c>
      <c r="I23" s="5">
        <f>IF(NOT(ISERR(FACT($C$3)/(FACT(I$3)*FACT($C$3-2*I$3-$E23)*FACT($E23+I$3))*($C$10^I$3)*($C$9^($C$3-2*I$3-$E23))*($C$8^($E23+I$3)))),FACT($C$3)/(FACT(I$3)*FACT($C$3-2*I$3-$E23)*FACT($E23+I$3))*($C$10^I$3)*($C$9^($C$3-2*I$3-$E23))*($C$8^($E23+I$3)),0)</f>
        <v>0</v>
      </c>
      <c r="J23" s="5">
        <f>IF(NOT(ISERR(FACT($C$3)/(FACT(J$3)*FACT($C$3-2*J$3-$E23)*FACT($E23+J$3))*($C$10^J$3)*($C$9^($C$3-2*J$3-$E23))*($C$8^($E23+J$3)))),FACT($C$3)/(FACT(J$3)*FACT($C$3-2*J$3-$E23)*FACT($E23+J$3))*($C$10^J$3)*($C$9^($C$3-2*J$3-$E23))*($C$8^($E23+J$3)),0)</f>
        <v>0</v>
      </c>
      <c r="K23" s="5">
        <f>IF(NOT(ISERR(FACT($C$3)/(FACT(K$3)*FACT($C$3-2*K$3-$E23)*FACT($E23+K$3))*($C$10^K$3)*($C$9^($C$3-2*K$3-$E23))*($C$8^($E23+K$3)))),FACT($C$3)/(FACT(K$3)*FACT($C$3-2*K$3-$E23)*FACT($E23+K$3))*($C$10^K$3)*($C$9^($C$3-2*K$3-$E23))*($C$8^($E23+K$3)),0)</f>
        <v>0</v>
      </c>
      <c r="L23" s="5">
        <f>IF(NOT(ISERR(FACT($C$3)/(FACT(L$3)*FACT($C$3-2*L$3-$E23)*FACT($E23+L$3))*($C$10^L$3)*($C$9^($C$3-2*L$3-$E23))*($C$8^($E23+L$3)))),FACT($C$3)/(FACT(L$3)*FACT($C$3-2*L$3-$E23)*FACT($E23+L$3))*($C$10^L$3)*($C$9^($C$3-2*L$3-$E23))*($C$8^($E23+L$3)),0)</f>
        <v>0</v>
      </c>
      <c r="M23" s="5">
        <f>IF(NOT(ISERR(FACT($C$3)/(FACT(M$3)*FACT($C$3-2*M$3-$E23)*FACT($E23+M$3))*($C$10^M$3)*($C$9^($C$3-2*M$3-$E23))*($C$8^($E23+M$3)))),FACT($C$3)/(FACT(M$3)*FACT($C$3-2*M$3-$E23)*FACT($E23+M$3))*($C$10^M$3)*($C$9^($C$3-2*M$3-$E23))*($C$8^($E23+M$3)),0)</f>
        <v>0</v>
      </c>
      <c r="N23" s="5">
        <f>IF(NOT(ISERR(FACT($C$3)/(FACT(N$3)*FACT($C$3-2*N$3-$E23)*FACT($E23+N$3))*($C$10^N$3)*($C$9^($C$3-2*N$3-$E23))*($C$8^($E23+N$3)))),FACT($C$3)/(FACT(N$3)*FACT($C$3-2*N$3-$E23)*FACT($E23+N$3))*($C$10^N$3)*($C$9^($C$3-2*N$3-$E23))*($C$8^($E23+N$3)),0)</f>
        <v>0</v>
      </c>
      <c r="O23" s="5">
        <f>IF(NOT(ISERR(FACT($C$3)/(FACT(O$3)*FACT($C$3-2*O$3-$E23)*FACT($E23+O$3))*($C$10^O$3)*($C$9^($C$3-2*O$3-$E23))*($C$8^($E23+O$3)))),FACT($C$3)/(FACT(O$3)*FACT($C$3-2*O$3-$E23)*FACT($E23+O$3))*($C$10^O$3)*($C$9^($C$3-2*O$3-$E23))*($C$8^($E23+O$3)),0)</f>
        <v>0</v>
      </c>
      <c r="P23" s="5">
        <f>IF(NOT(ISERR(FACT($C$3)/(FACT(P$3)*FACT($C$3-2*P$3-$E23)*FACT($E23+P$3))*($C$10^P$3)*($C$9^($C$3-2*P$3-$E23))*($C$8^($E23+P$3)))),FACT($C$3)/(FACT(P$3)*FACT($C$3-2*P$3-$E23)*FACT($E23+P$3))*($C$10^P$3)*($C$9^($C$3-2*P$3-$E23))*($C$8^($E23+P$3)),0)</f>
        <v>0</v>
      </c>
      <c r="Q23" s="5">
        <f>IF(NOT(ISERR(FACT($C$3)/(FACT(Q$3)*FACT($C$3-2*Q$3-$E23)*FACT($E23+Q$3))*($C$10^Q$3)*($C$9^($C$3-2*Q$3-$E23))*($C$8^($E23+Q$3)))),FACT($C$3)/(FACT(Q$3)*FACT($C$3-2*Q$3-$E23)*FACT($E23+Q$3))*($C$10^Q$3)*($C$9^($C$3-2*Q$3-$E23))*($C$8^($E23+Q$3)),0)</f>
        <v>0</v>
      </c>
      <c r="R23" s="5">
        <f>IF(NOT(ISERR(FACT($C$3)/(FACT(R$3)*FACT($C$3-2*R$3-$E23)*FACT($E23+R$3))*($C$10^R$3)*($C$9^($C$3-2*R$3-$E23))*($C$8^($E23+R$3)))),FACT($C$3)/(FACT(R$3)*FACT($C$3-2*R$3-$E23)*FACT($E23+R$3))*($C$10^R$3)*($C$9^($C$3-2*R$3-$E23))*($C$8^($E23+R$3)),0)</f>
        <v>0</v>
      </c>
      <c r="S23" s="5">
        <f>IF(NOT(ISERR(FACT($C$3)/(FACT(S$3)*FACT($C$3-2*S$3-$E23)*FACT($E23+S$3))*($C$10^S$3)*($C$9^($C$3-2*S$3-$E23))*($C$8^($E23+S$3)))),FACT($C$3)/(FACT(S$3)*FACT($C$3-2*S$3-$E23)*FACT($E23+S$3))*($C$10^S$3)*($C$9^($C$3-2*S$3-$E23))*($C$8^($E23+S$3)),0)</f>
        <v>0</v>
      </c>
      <c r="T23" s="5">
        <f>IF(NOT(ISERR(FACT($C$3)/(FACT(T$3)*FACT($C$3-2*T$3-$E23)*FACT($E23+T$3))*($C$10^T$3)*($C$9^($C$3-2*T$3-$E23))*($C$8^($E23+T$3)))),FACT($C$3)/(FACT(T$3)*FACT($C$3-2*T$3-$E23)*FACT($E23+T$3))*($C$10^T$3)*($C$9^($C$3-2*T$3-$E23))*($C$8^($E23+T$3)),0)</f>
        <v>0</v>
      </c>
      <c r="U23" s="5">
        <f>IF(NOT(ISERR(FACT($C$3)/(FACT(U$3)*FACT($C$3-2*U$3-$E23)*FACT($E23+U$3))*($C$10^U$3)*($C$9^($C$3-2*U$3-$E23))*($C$8^($E23+U$3)))),FACT($C$3)/(FACT(U$3)*FACT($C$3-2*U$3-$E23)*FACT($E23+U$3))*($C$10^U$3)*($C$9^($C$3-2*U$3-$E23))*($C$8^($E23+U$3)),0)</f>
        <v>0</v>
      </c>
      <c r="V23" s="5">
        <f>IF(NOT(ISERR(FACT($C$3)/(FACT(V$3)*FACT($C$3-2*V$3-$E23)*FACT($E23+V$3))*($C$10^V$3)*($C$9^($C$3-2*V$3-$E23))*($C$8^($E23+V$3)))),FACT($C$3)/(FACT(V$3)*FACT($C$3-2*V$3-$E23)*FACT($E23+V$3))*($C$10^V$3)*($C$9^($C$3-2*V$3-$E23))*($C$8^($E23+V$3)),0)</f>
        <v>0</v>
      </c>
      <c r="W23" s="5">
        <f>IF(NOT(ISERR(FACT($C$3)/(FACT(W$3)*FACT($C$3-2*W$3-$E23)*FACT($E23+W$3))*($C$10^W$3)*($C$9^($C$3-2*W$3-$E23))*($C$8^($E23+W$3)))),FACT($C$3)/(FACT(W$3)*FACT($C$3-2*W$3-$E23)*FACT($E23+W$3))*($C$10^W$3)*($C$9^($C$3-2*W$3-$E23))*($C$8^($E23+W$3)),0)</f>
        <v>0</v>
      </c>
    </row>
    <row r="24" spans="5:23" x14ac:dyDescent="0.25">
      <c r="E24" s="4">
        <f t="shared" si="2"/>
        <v>12</v>
      </c>
      <c r="F24" s="6">
        <f t="shared" si="1"/>
        <v>0</v>
      </c>
      <c r="G24" s="1"/>
      <c r="H24" s="5">
        <f>IF(NOT(ISERR(FACT($C$3)/(FACT(H$3)*FACT($C$3-2*H$3-$E24)*FACT($E24+H$3))*($C$10^H$3)*($C$9^($C$3-2*H$3-$E24))*($C$8^($E24+H$3)))),FACT($C$3)/(FACT(H$3)*FACT($C$3-2*H$3-$E24)*FACT($E24+H$3))*($C$10^H$3)*($C$9^($C$3-2*H$3-$E24))*($C$8^($E24+H$3)),0)</f>
        <v>0</v>
      </c>
      <c r="I24" s="5">
        <f>IF(NOT(ISERR(FACT($C$3)/(FACT(I$3)*FACT($C$3-2*I$3-$E24)*FACT($E24+I$3))*($C$10^I$3)*($C$9^($C$3-2*I$3-$E24))*($C$8^($E24+I$3)))),FACT($C$3)/(FACT(I$3)*FACT($C$3-2*I$3-$E24)*FACT($E24+I$3))*($C$10^I$3)*($C$9^($C$3-2*I$3-$E24))*($C$8^($E24+I$3)),0)</f>
        <v>0</v>
      </c>
      <c r="J24" s="5">
        <f>IF(NOT(ISERR(FACT($C$3)/(FACT(J$3)*FACT($C$3-2*J$3-$E24)*FACT($E24+J$3))*($C$10^J$3)*($C$9^($C$3-2*J$3-$E24))*($C$8^($E24+J$3)))),FACT($C$3)/(FACT(J$3)*FACT($C$3-2*J$3-$E24)*FACT($E24+J$3))*($C$10^J$3)*($C$9^($C$3-2*J$3-$E24))*($C$8^($E24+J$3)),0)</f>
        <v>0</v>
      </c>
      <c r="K24" s="5">
        <f>IF(NOT(ISERR(FACT($C$3)/(FACT(K$3)*FACT($C$3-2*K$3-$E24)*FACT($E24+K$3))*($C$10^K$3)*($C$9^($C$3-2*K$3-$E24))*($C$8^($E24+K$3)))),FACT($C$3)/(FACT(K$3)*FACT($C$3-2*K$3-$E24)*FACT($E24+K$3))*($C$10^K$3)*($C$9^($C$3-2*K$3-$E24))*($C$8^($E24+K$3)),0)</f>
        <v>0</v>
      </c>
      <c r="L24" s="5">
        <f>IF(NOT(ISERR(FACT($C$3)/(FACT(L$3)*FACT($C$3-2*L$3-$E24)*FACT($E24+L$3))*($C$10^L$3)*($C$9^($C$3-2*L$3-$E24))*($C$8^($E24+L$3)))),FACT($C$3)/(FACT(L$3)*FACT($C$3-2*L$3-$E24)*FACT($E24+L$3))*($C$10^L$3)*($C$9^($C$3-2*L$3-$E24))*($C$8^($E24+L$3)),0)</f>
        <v>0</v>
      </c>
      <c r="M24" s="5">
        <f>IF(NOT(ISERR(FACT($C$3)/(FACT(M$3)*FACT($C$3-2*M$3-$E24)*FACT($E24+M$3))*($C$10^M$3)*($C$9^($C$3-2*M$3-$E24))*($C$8^($E24+M$3)))),FACT($C$3)/(FACT(M$3)*FACT($C$3-2*M$3-$E24)*FACT($E24+M$3))*($C$10^M$3)*($C$9^($C$3-2*M$3-$E24))*($C$8^($E24+M$3)),0)</f>
        <v>0</v>
      </c>
      <c r="N24" s="5">
        <f>IF(NOT(ISERR(FACT($C$3)/(FACT(N$3)*FACT($C$3-2*N$3-$E24)*FACT($E24+N$3))*($C$10^N$3)*($C$9^($C$3-2*N$3-$E24))*($C$8^($E24+N$3)))),FACT($C$3)/(FACT(N$3)*FACT($C$3-2*N$3-$E24)*FACT($E24+N$3))*($C$10^N$3)*($C$9^($C$3-2*N$3-$E24))*($C$8^($E24+N$3)),0)</f>
        <v>0</v>
      </c>
      <c r="O24" s="5">
        <f>IF(NOT(ISERR(FACT($C$3)/(FACT(O$3)*FACT($C$3-2*O$3-$E24)*FACT($E24+O$3))*($C$10^O$3)*($C$9^($C$3-2*O$3-$E24))*($C$8^($E24+O$3)))),FACT($C$3)/(FACT(O$3)*FACT($C$3-2*O$3-$E24)*FACT($E24+O$3))*($C$10^O$3)*($C$9^($C$3-2*O$3-$E24))*($C$8^($E24+O$3)),0)</f>
        <v>0</v>
      </c>
      <c r="P24" s="5">
        <f>IF(NOT(ISERR(FACT($C$3)/(FACT(P$3)*FACT($C$3-2*P$3-$E24)*FACT($E24+P$3))*($C$10^P$3)*($C$9^($C$3-2*P$3-$E24))*($C$8^($E24+P$3)))),FACT($C$3)/(FACT(P$3)*FACT($C$3-2*P$3-$E24)*FACT($E24+P$3))*($C$10^P$3)*($C$9^($C$3-2*P$3-$E24))*($C$8^($E24+P$3)),0)</f>
        <v>0</v>
      </c>
      <c r="Q24" s="5">
        <f>IF(NOT(ISERR(FACT($C$3)/(FACT(Q$3)*FACT($C$3-2*Q$3-$E24)*FACT($E24+Q$3))*($C$10^Q$3)*($C$9^($C$3-2*Q$3-$E24))*($C$8^($E24+Q$3)))),FACT($C$3)/(FACT(Q$3)*FACT($C$3-2*Q$3-$E24)*FACT($E24+Q$3))*($C$10^Q$3)*($C$9^($C$3-2*Q$3-$E24))*($C$8^($E24+Q$3)),0)</f>
        <v>0</v>
      </c>
      <c r="R24" s="5">
        <f>IF(NOT(ISERR(FACT($C$3)/(FACT(R$3)*FACT($C$3-2*R$3-$E24)*FACT($E24+R$3))*($C$10^R$3)*($C$9^($C$3-2*R$3-$E24))*($C$8^($E24+R$3)))),FACT($C$3)/(FACT(R$3)*FACT($C$3-2*R$3-$E24)*FACT($E24+R$3))*($C$10^R$3)*($C$9^($C$3-2*R$3-$E24))*($C$8^($E24+R$3)),0)</f>
        <v>0</v>
      </c>
      <c r="S24" s="5">
        <f>IF(NOT(ISERR(FACT($C$3)/(FACT(S$3)*FACT($C$3-2*S$3-$E24)*FACT($E24+S$3))*($C$10^S$3)*($C$9^($C$3-2*S$3-$E24))*($C$8^($E24+S$3)))),FACT($C$3)/(FACT(S$3)*FACT($C$3-2*S$3-$E24)*FACT($E24+S$3))*($C$10^S$3)*($C$9^($C$3-2*S$3-$E24))*($C$8^($E24+S$3)),0)</f>
        <v>0</v>
      </c>
      <c r="T24" s="5">
        <f>IF(NOT(ISERR(FACT($C$3)/(FACT(T$3)*FACT($C$3-2*T$3-$E24)*FACT($E24+T$3))*($C$10^T$3)*($C$9^($C$3-2*T$3-$E24))*($C$8^($E24+T$3)))),FACT($C$3)/(FACT(T$3)*FACT($C$3-2*T$3-$E24)*FACT($E24+T$3))*($C$10^T$3)*($C$9^($C$3-2*T$3-$E24))*($C$8^($E24+T$3)),0)</f>
        <v>0</v>
      </c>
      <c r="U24" s="5">
        <f>IF(NOT(ISERR(FACT($C$3)/(FACT(U$3)*FACT($C$3-2*U$3-$E24)*FACT($E24+U$3))*($C$10^U$3)*($C$9^($C$3-2*U$3-$E24))*($C$8^($E24+U$3)))),FACT($C$3)/(FACT(U$3)*FACT($C$3-2*U$3-$E24)*FACT($E24+U$3))*($C$10^U$3)*($C$9^($C$3-2*U$3-$E24))*($C$8^($E24+U$3)),0)</f>
        <v>0</v>
      </c>
      <c r="V24" s="5">
        <f>IF(NOT(ISERR(FACT($C$3)/(FACT(V$3)*FACT($C$3-2*V$3-$E24)*FACT($E24+V$3))*($C$10^V$3)*($C$9^($C$3-2*V$3-$E24))*($C$8^($E24+V$3)))),FACT($C$3)/(FACT(V$3)*FACT($C$3-2*V$3-$E24)*FACT($E24+V$3))*($C$10^V$3)*($C$9^($C$3-2*V$3-$E24))*($C$8^($E24+V$3)),0)</f>
        <v>0</v>
      </c>
      <c r="W24" s="5">
        <f>IF(NOT(ISERR(FACT($C$3)/(FACT(W$3)*FACT($C$3-2*W$3-$E24)*FACT($E24+W$3))*($C$10^W$3)*($C$9^($C$3-2*W$3-$E24))*($C$8^($E24+W$3)))),FACT($C$3)/(FACT(W$3)*FACT($C$3-2*W$3-$E24)*FACT($E24+W$3))*($C$10^W$3)*($C$9^($C$3-2*W$3-$E24))*($C$8^($E24+W$3)),0)</f>
        <v>0</v>
      </c>
    </row>
    <row r="25" spans="5:23" x14ac:dyDescent="0.25">
      <c r="E25" s="4">
        <f t="shared" ref="E25:E29" si="3">E24+1</f>
        <v>13</v>
      </c>
      <c r="F25" s="6">
        <f t="shared" ref="F25:F29" si="4">SUM(H25:W25)</f>
        <v>0</v>
      </c>
      <c r="G25" s="1"/>
      <c r="H25" s="5">
        <f>IF(NOT(ISERR(FACT($C$3)/(FACT(H$3)*FACT($C$3-2*H$3-$E25)*FACT($E25+H$3))*($C$10^H$3)*($C$9^($C$3-2*H$3-$E25))*($C$8^($E25+H$3)))),FACT($C$3)/(FACT(H$3)*FACT($C$3-2*H$3-$E25)*FACT($E25+H$3))*($C$10^H$3)*($C$9^($C$3-2*H$3-$E25))*($C$8^($E25+H$3)),0)</f>
        <v>0</v>
      </c>
      <c r="I25" s="5">
        <f>IF(NOT(ISERR(FACT($C$3)/(FACT(I$3)*FACT($C$3-2*I$3-$E25)*FACT($E25+I$3))*($C$10^I$3)*($C$9^($C$3-2*I$3-$E25))*($C$8^($E25+I$3)))),FACT($C$3)/(FACT(I$3)*FACT($C$3-2*I$3-$E25)*FACT($E25+I$3))*($C$10^I$3)*($C$9^($C$3-2*I$3-$E25))*($C$8^($E25+I$3)),0)</f>
        <v>0</v>
      </c>
      <c r="J25" s="5">
        <f>IF(NOT(ISERR(FACT($C$3)/(FACT(J$3)*FACT($C$3-2*J$3-$E25)*FACT($E25+J$3))*($C$10^J$3)*($C$9^($C$3-2*J$3-$E25))*($C$8^($E25+J$3)))),FACT($C$3)/(FACT(J$3)*FACT($C$3-2*J$3-$E25)*FACT($E25+J$3))*($C$10^J$3)*($C$9^($C$3-2*J$3-$E25))*($C$8^($E25+J$3)),0)</f>
        <v>0</v>
      </c>
      <c r="K25" s="5">
        <f>IF(NOT(ISERR(FACT($C$3)/(FACT(K$3)*FACT($C$3-2*K$3-$E25)*FACT($E25+K$3))*($C$10^K$3)*($C$9^($C$3-2*K$3-$E25))*($C$8^($E25+K$3)))),FACT($C$3)/(FACT(K$3)*FACT($C$3-2*K$3-$E25)*FACT($E25+K$3))*($C$10^K$3)*($C$9^($C$3-2*K$3-$E25))*($C$8^($E25+K$3)),0)</f>
        <v>0</v>
      </c>
      <c r="L25" s="5">
        <f>IF(NOT(ISERR(FACT($C$3)/(FACT(L$3)*FACT($C$3-2*L$3-$E25)*FACT($E25+L$3))*($C$10^L$3)*($C$9^($C$3-2*L$3-$E25))*($C$8^($E25+L$3)))),FACT($C$3)/(FACT(L$3)*FACT($C$3-2*L$3-$E25)*FACT($E25+L$3))*($C$10^L$3)*($C$9^($C$3-2*L$3-$E25))*($C$8^($E25+L$3)),0)</f>
        <v>0</v>
      </c>
      <c r="M25" s="5">
        <f>IF(NOT(ISERR(FACT($C$3)/(FACT(M$3)*FACT($C$3-2*M$3-$E25)*FACT($E25+M$3))*($C$10^M$3)*($C$9^($C$3-2*M$3-$E25))*($C$8^($E25+M$3)))),FACT($C$3)/(FACT(M$3)*FACT($C$3-2*M$3-$E25)*FACT($E25+M$3))*($C$10^M$3)*($C$9^($C$3-2*M$3-$E25))*($C$8^($E25+M$3)),0)</f>
        <v>0</v>
      </c>
      <c r="N25" s="5">
        <f>IF(NOT(ISERR(FACT($C$3)/(FACT(N$3)*FACT($C$3-2*N$3-$E25)*FACT($E25+N$3))*($C$10^N$3)*($C$9^($C$3-2*N$3-$E25))*($C$8^($E25+N$3)))),FACT($C$3)/(FACT(N$3)*FACT($C$3-2*N$3-$E25)*FACT($E25+N$3))*($C$10^N$3)*($C$9^($C$3-2*N$3-$E25))*($C$8^($E25+N$3)),0)</f>
        <v>0</v>
      </c>
      <c r="O25" s="5">
        <f>IF(NOT(ISERR(FACT($C$3)/(FACT(O$3)*FACT($C$3-2*O$3-$E25)*FACT($E25+O$3))*($C$10^O$3)*($C$9^($C$3-2*O$3-$E25))*($C$8^($E25+O$3)))),FACT($C$3)/(FACT(O$3)*FACT($C$3-2*O$3-$E25)*FACT($E25+O$3))*($C$10^O$3)*($C$9^($C$3-2*O$3-$E25))*($C$8^($E25+O$3)),0)</f>
        <v>0</v>
      </c>
      <c r="P25" s="5">
        <f>IF(NOT(ISERR(FACT($C$3)/(FACT(P$3)*FACT($C$3-2*P$3-$E25)*FACT($E25+P$3))*($C$10^P$3)*($C$9^($C$3-2*P$3-$E25))*($C$8^($E25+P$3)))),FACT($C$3)/(FACT(P$3)*FACT($C$3-2*P$3-$E25)*FACT($E25+P$3))*($C$10^P$3)*($C$9^($C$3-2*P$3-$E25))*($C$8^($E25+P$3)),0)</f>
        <v>0</v>
      </c>
      <c r="Q25" s="5">
        <f>IF(NOT(ISERR(FACT($C$3)/(FACT(Q$3)*FACT($C$3-2*Q$3-$E25)*FACT($E25+Q$3))*($C$10^Q$3)*($C$9^($C$3-2*Q$3-$E25))*($C$8^($E25+Q$3)))),FACT($C$3)/(FACT(Q$3)*FACT($C$3-2*Q$3-$E25)*FACT($E25+Q$3))*($C$10^Q$3)*($C$9^($C$3-2*Q$3-$E25))*($C$8^($E25+Q$3)),0)</f>
        <v>0</v>
      </c>
      <c r="R25" s="5">
        <f>IF(NOT(ISERR(FACT($C$3)/(FACT(R$3)*FACT($C$3-2*R$3-$E25)*FACT($E25+R$3))*($C$10^R$3)*($C$9^($C$3-2*R$3-$E25))*($C$8^($E25+R$3)))),FACT($C$3)/(FACT(R$3)*FACT($C$3-2*R$3-$E25)*FACT($E25+R$3))*($C$10^R$3)*($C$9^($C$3-2*R$3-$E25))*($C$8^($E25+R$3)),0)</f>
        <v>0</v>
      </c>
      <c r="S25" s="5">
        <f>IF(NOT(ISERR(FACT($C$3)/(FACT(S$3)*FACT($C$3-2*S$3-$E25)*FACT($E25+S$3))*($C$10^S$3)*($C$9^($C$3-2*S$3-$E25))*($C$8^($E25+S$3)))),FACT($C$3)/(FACT(S$3)*FACT($C$3-2*S$3-$E25)*FACT($E25+S$3))*($C$10^S$3)*($C$9^($C$3-2*S$3-$E25))*($C$8^($E25+S$3)),0)</f>
        <v>0</v>
      </c>
      <c r="T25" s="5">
        <f>IF(NOT(ISERR(FACT($C$3)/(FACT(T$3)*FACT($C$3-2*T$3-$E25)*FACT($E25+T$3))*($C$10^T$3)*($C$9^($C$3-2*T$3-$E25))*($C$8^($E25+T$3)))),FACT($C$3)/(FACT(T$3)*FACT($C$3-2*T$3-$E25)*FACT($E25+T$3))*($C$10^T$3)*($C$9^($C$3-2*T$3-$E25))*($C$8^($E25+T$3)),0)</f>
        <v>0</v>
      </c>
      <c r="U25" s="5">
        <f>IF(NOT(ISERR(FACT($C$3)/(FACT(U$3)*FACT($C$3-2*U$3-$E25)*FACT($E25+U$3))*($C$10^U$3)*($C$9^($C$3-2*U$3-$E25))*($C$8^($E25+U$3)))),FACT($C$3)/(FACT(U$3)*FACT($C$3-2*U$3-$E25)*FACT($E25+U$3))*($C$10^U$3)*($C$9^($C$3-2*U$3-$E25))*($C$8^($E25+U$3)),0)</f>
        <v>0</v>
      </c>
      <c r="V25" s="5">
        <f>IF(NOT(ISERR(FACT($C$3)/(FACT(V$3)*FACT($C$3-2*V$3-$E25)*FACT($E25+V$3))*($C$10^V$3)*($C$9^($C$3-2*V$3-$E25))*($C$8^($E25+V$3)))),FACT($C$3)/(FACT(V$3)*FACT($C$3-2*V$3-$E25)*FACT($E25+V$3))*($C$10^V$3)*($C$9^($C$3-2*V$3-$E25))*($C$8^($E25+V$3)),0)</f>
        <v>0</v>
      </c>
      <c r="W25" s="5">
        <f>IF(NOT(ISERR(FACT($C$3)/(FACT(W$3)*FACT($C$3-2*W$3-$E25)*FACT($E25+W$3))*($C$10^W$3)*($C$9^($C$3-2*W$3-$E25))*($C$8^($E25+W$3)))),FACT($C$3)/(FACT(W$3)*FACT($C$3-2*W$3-$E25)*FACT($E25+W$3))*($C$10^W$3)*($C$9^($C$3-2*W$3-$E25))*($C$8^($E25+W$3)),0)</f>
        <v>0</v>
      </c>
    </row>
    <row r="26" spans="5:23" x14ac:dyDescent="0.25">
      <c r="E26" s="4">
        <f t="shared" si="3"/>
        <v>14</v>
      </c>
      <c r="F26" s="6">
        <f t="shared" si="4"/>
        <v>0</v>
      </c>
      <c r="G26" s="1"/>
      <c r="H26" s="5">
        <f>IF(NOT(ISERR(FACT($C$3)/(FACT(H$3)*FACT($C$3-2*H$3-$E26)*FACT($E26+H$3))*($C$10^H$3)*($C$9^($C$3-2*H$3-$E26))*($C$8^($E26+H$3)))),FACT($C$3)/(FACT(H$3)*FACT($C$3-2*H$3-$E26)*FACT($E26+H$3))*($C$10^H$3)*($C$9^($C$3-2*H$3-$E26))*($C$8^($E26+H$3)),0)</f>
        <v>0</v>
      </c>
      <c r="I26" s="5">
        <f>IF(NOT(ISERR(FACT($C$3)/(FACT(I$3)*FACT($C$3-2*I$3-$E26)*FACT($E26+I$3))*($C$10^I$3)*($C$9^($C$3-2*I$3-$E26))*($C$8^($E26+I$3)))),FACT($C$3)/(FACT(I$3)*FACT($C$3-2*I$3-$E26)*FACT($E26+I$3))*($C$10^I$3)*($C$9^($C$3-2*I$3-$E26))*($C$8^($E26+I$3)),0)</f>
        <v>0</v>
      </c>
      <c r="J26" s="5">
        <f>IF(NOT(ISERR(FACT($C$3)/(FACT(J$3)*FACT($C$3-2*J$3-$E26)*FACT($E26+J$3))*($C$10^J$3)*($C$9^($C$3-2*J$3-$E26))*($C$8^($E26+J$3)))),FACT($C$3)/(FACT(J$3)*FACT($C$3-2*J$3-$E26)*FACT($E26+J$3))*($C$10^J$3)*($C$9^($C$3-2*J$3-$E26))*($C$8^($E26+J$3)),0)</f>
        <v>0</v>
      </c>
      <c r="K26" s="5">
        <f>IF(NOT(ISERR(FACT($C$3)/(FACT(K$3)*FACT($C$3-2*K$3-$E26)*FACT($E26+K$3))*($C$10^K$3)*($C$9^($C$3-2*K$3-$E26))*($C$8^($E26+K$3)))),FACT($C$3)/(FACT(K$3)*FACT($C$3-2*K$3-$E26)*FACT($E26+K$3))*($C$10^K$3)*($C$9^($C$3-2*K$3-$E26))*($C$8^($E26+K$3)),0)</f>
        <v>0</v>
      </c>
      <c r="L26" s="5">
        <f>IF(NOT(ISERR(FACT($C$3)/(FACT(L$3)*FACT($C$3-2*L$3-$E26)*FACT($E26+L$3))*($C$10^L$3)*($C$9^($C$3-2*L$3-$E26))*($C$8^($E26+L$3)))),FACT($C$3)/(FACT(L$3)*FACT($C$3-2*L$3-$E26)*FACT($E26+L$3))*($C$10^L$3)*($C$9^($C$3-2*L$3-$E26))*($C$8^($E26+L$3)),0)</f>
        <v>0</v>
      </c>
      <c r="M26" s="5">
        <f>IF(NOT(ISERR(FACT($C$3)/(FACT(M$3)*FACT($C$3-2*M$3-$E26)*FACT($E26+M$3))*($C$10^M$3)*($C$9^($C$3-2*M$3-$E26))*($C$8^($E26+M$3)))),FACT($C$3)/(FACT(M$3)*FACT($C$3-2*M$3-$E26)*FACT($E26+M$3))*($C$10^M$3)*($C$9^($C$3-2*M$3-$E26))*($C$8^($E26+M$3)),0)</f>
        <v>0</v>
      </c>
      <c r="N26" s="5">
        <f>IF(NOT(ISERR(FACT($C$3)/(FACT(N$3)*FACT($C$3-2*N$3-$E26)*FACT($E26+N$3))*($C$10^N$3)*($C$9^($C$3-2*N$3-$E26))*($C$8^($E26+N$3)))),FACT($C$3)/(FACT(N$3)*FACT($C$3-2*N$3-$E26)*FACT($E26+N$3))*($C$10^N$3)*($C$9^($C$3-2*N$3-$E26))*($C$8^($E26+N$3)),0)</f>
        <v>0</v>
      </c>
      <c r="O26" s="5">
        <f>IF(NOT(ISERR(FACT($C$3)/(FACT(O$3)*FACT($C$3-2*O$3-$E26)*FACT($E26+O$3))*($C$10^O$3)*($C$9^($C$3-2*O$3-$E26))*($C$8^($E26+O$3)))),FACT($C$3)/(FACT(O$3)*FACT($C$3-2*O$3-$E26)*FACT($E26+O$3))*($C$10^O$3)*($C$9^($C$3-2*O$3-$E26))*($C$8^($E26+O$3)),0)</f>
        <v>0</v>
      </c>
      <c r="P26" s="5">
        <f>IF(NOT(ISERR(FACT($C$3)/(FACT(P$3)*FACT($C$3-2*P$3-$E26)*FACT($E26+P$3))*($C$10^P$3)*($C$9^($C$3-2*P$3-$E26))*($C$8^($E26+P$3)))),FACT($C$3)/(FACT(P$3)*FACT($C$3-2*P$3-$E26)*FACT($E26+P$3))*($C$10^P$3)*($C$9^($C$3-2*P$3-$E26))*($C$8^($E26+P$3)),0)</f>
        <v>0</v>
      </c>
      <c r="Q26" s="5">
        <f>IF(NOT(ISERR(FACT($C$3)/(FACT(Q$3)*FACT($C$3-2*Q$3-$E26)*FACT($E26+Q$3))*($C$10^Q$3)*($C$9^($C$3-2*Q$3-$E26))*($C$8^($E26+Q$3)))),FACT($C$3)/(FACT(Q$3)*FACT($C$3-2*Q$3-$E26)*FACT($E26+Q$3))*($C$10^Q$3)*($C$9^($C$3-2*Q$3-$E26))*($C$8^($E26+Q$3)),0)</f>
        <v>0</v>
      </c>
      <c r="R26" s="5">
        <f>IF(NOT(ISERR(FACT($C$3)/(FACT(R$3)*FACT($C$3-2*R$3-$E26)*FACT($E26+R$3))*($C$10^R$3)*($C$9^($C$3-2*R$3-$E26))*($C$8^($E26+R$3)))),FACT($C$3)/(FACT(R$3)*FACT($C$3-2*R$3-$E26)*FACT($E26+R$3))*($C$10^R$3)*($C$9^($C$3-2*R$3-$E26))*($C$8^($E26+R$3)),0)</f>
        <v>0</v>
      </c>
      <c r="S26" s="5">
        <f>IF(NOT(ISERR(FACT($C$3)/(FACT(S$3)*FACT($C$3-2*S$3-$E26)*FACT($E26+S$3))*($C$10^S$3)*($C$9^($C$3-2*S$3-$E26))*($C$8^($E26+S$3)))),FACT($C$3)/(FACT(S$3)*FACT($C$3-2*S$3-$E26)*FACT($E26+S$3))*($C$10^S$3)*($C$9^($C$3-2*S$3-$E26))*($C$8^($E26+S$3)),0)</f>
        <v>0</v>
      </c>
      <c r="T26" s="5">
        <f>IF(NOT(ISERR(FACT($C$3)/(FACT(T$3)*FACT($C$3-2*T$3-$E26)*FACT($E26+T$3))*($C$10^T$3)*($C$9^($C$3-2*T$3-$E26))*($C$8^($E26+T$3)))),FACT($C$3)/(FACT(T$3)*FACT($C$3-2*T$3-$E26)*FACT($E26+T$3))*($C$10^T$3)*($C$9^($C$3-2*T$3-$E26))*($C$8^($E26+T$3)),0)</f>
        <v>0</v>
      </c>
      <c r="U26" s="5">
        <f>IF(NOT(ISERR(FACT($C$3)/(FACT(U$3)*FACT($C$3-2*U$3-$E26)*FACT($E26+U$3))*($C$10^U$3)*($C$9^($C$3-2*U$3-$E26))*($C$8^($E26+U$3)))),FACT($C$3)/(FACT(U$3)*FACT($C$3-2*U$3-$E26)*FACT($E26+U$3))*($C$10^U$3)*($C$9^($C$3-2*U$3-$E26))*($C$8^($E26+U$3)),0)</f>
        <v>0</v>
      </c>
      <c r="V26" s="5">
        <f>IF(NOT(ISERR(FACT($C$3)/(FACT(V$3)*FACT($C$3-2*V$3-$E26)*FACT($E26+V$3))*($C$10^V$3)*($C$9^($C$3-2*V$3-$E26))*($C$8^($E26+V$3)))),FACT($C$3)/(FACT(V$3)*FACT($C$3-2*V$3-$E26)*FACT($E26+V$3))*($C$10^V$3)*($C$9^($C$3-2*V$3-$E26))*($C$8^($E26+V$3)),0)</f>
        <v>0</v>
      </c>
      <c r="W26" s="5">
        <f>IF(NOT(ISERR(FACT($C$3)/(FACT(W$3)*FACT($C$3-2*W$3-$E26)*FACT($E26+W$3))*($C$10^W$3)*($C$9^($C$3-2*W$3-$E26))*($C$8^($E26+W$3)))),FACT($C$3)/(FACT(W$3)*FACT($C$3-2*W$3-$E26)*FACT($E26+W$3))*($C$10^W$3)*($C$9^($C$3-2*W$3-$E26))*($C$8^($E26+W$3)),0)</f>
        <v>0</v>
      </c>
    </row>
    <row r="27" spans="5:23" x14ac:dyDescent="0.25">
      <c r="E27" s="4">
        <f t="shared" si="3"/>
        <v>15</v>
      </c>
      <c r="F27" s="6">
        <f t="shared" si="4"/>
        <v>0</v>
      </c>
      <c r="G27" s="1"/>
      <c r="H27" s="5">
        <f>IF(NOT(ISERR(FACT($C$3)/(FACT(H$3)*FACT($C$3-2*H$3-$E27)*FACT($E27+H$3))*($C$10^H$3)*($C$9^($C$3-2*H$3-$E27))*($C$8^($E27+H$3)))),FACT($C$3)/(FACT(H$3)*FACT($C$3-2*H$3-$E27)*FACT($E27+H$3))*($C$10^H$3)*($C$9^($C$3-2*H$3-$E27))*($C$8^($E27+H$3)),0)</f>
        <v>0</v>
      </c>
      <c r="I27" s="5">
        <f>IF(NOT(ISERR(FACT($C$3)/(FACT(I$3)*FACT($C$3-2*I$3-$E27)*FACT($E27+I$3))*($C$10^I$3)*($C$9^($C$3-2*I$3-$E27))*($C$8^($E27+I$3)))),FACT($C$3)/(FACT(I$3)*FACT($C$3-2*I$3-$E27)*FACT($E27+I$3))*($C$10^I$3)*($C$9^($C$3-2*I$3-$E27))*($C$8^($E27+I$3)),0)</f>
        <v>0</v>
      </c>
      <c r="J27" s="5">
        <f>IF(NOT(ISERR(FACT($C$3)/(FACT(J$3)*FACT($C$3-2*J$3-$E27)*FACT($E27+J$3))*($C$10^J$3)*($C$9^($C$3-2*J$3-$E27))*($C$8^($E27+J$3)))),FACT($C$3)/(FACT(J$3)*FACT($C$3-2*J$3-$E27)*FACT($E27+J$3))*($C$10^J$3)*($C$9^($C$3-2*J$3-$E27))*($C$8^($E27+J$3)),0)</f>
        <v>0</v>
      </c>
      <c r="K27" s="5">
        <f>IF(NOT(ISERR(FACT($C$3)/(FACT(K$3)*FACT($C$3-2*K$3-$E27)*FACT($E27+K$3))*($C$10^K$3)*($C$9^($C$3-2*K$3-$E27))*($C$8^($E27+K$3)))),FACT($C$3)/(FACT(K$3)*FACT($C$3-2*K$3-$E27)*FACT($E27+K$3))*($C$10^K$3)*($C$9^($C$3-2*K$3-$E27))*($C$8^($E27+K$3)),0)</f>
        <v>0</v>
      </c>
      <c r="L27" s="5">
        <f>IF(NOT(ISERR(FACT($C$3)/(FACT(L$3)*FACT($C$3-2*L$3-$E27)*FACT($E27+L$3))*($C$10^L$3)*($C$9^($C$3-2*L$3-$E27))*($C$8^($E27+L$3)))),FACT($C$3)/(FACT(L$3)*FACT($C$3-2*L$3-$E27)*FACT($E27+L$3))*($C$10^L$3)*($C$9^($C$3-2*L$3-$E27))*($C$8^($E27+L$3)),0)</f>
        <v>0</v>
      </c>
      <c r="M27" s="5">
        <f>IF(NOT(ISERR(FACT($C$3)/(FACT(M$3)*FACT($C$3-2*M$3-$E27)*FACT($E27+M$3))*($C$10^M$3)*($C$9^($C$3-2*M$3-$E27))*($C$8^($E27+M$3)))),FACT($C$3)/(FACT(M$3)*FACT($C$3-2*M$3-$E27)*FACT($E27+M$3))*($C$10^M$3)*($C$9^($C$3-2*M$3-$E27))*($C$8^($E27+M$3)),0)</f>
        <v>0</v>
      </c>
      <c r="N27" s="5">
        <f>IF(NOT(ISERR(FACT($C$3)/(FACT(N$3)*FACT($C$3-2*N$3-$E27)*FACT($E27+N$3))*($C$10^N$3)*($C$9^($C$3-2*N$3-$E27))*($C$8^($E27+N$3)))),FACT($C$3)/(FACT(N$3)*FACT($C$3-2*N$3-$E27)*FACT($E27+N$3))*($C$10^N$3)*($C$9^($C$3-2*N$3-$E27))*($C$8^($E27+N$3)),0)</f>
        <v>0</v>
      </c>
      <c r="O27" s="5">
        <f>IF(NOT(ISERR(FACT($C$3)/(FACT(O$3)*FACT($C$3-2*O$3-$E27)*FACT($E27+O$3))*($C$10^O$3)*($C$9^($C$3-2*O$3-$E27))*($C$8^($E27+O$3)))),FACT($C$3)/(FACT(O$3)*FACT($C$3-2*O$3-$E27)*FACT($E27+O$3))*($C$10^O$3)*($C$9^($C$3-2*O$3-$E27))*($C$8^($E27+O$3)),0)</f>
        <v>0</v>
      </c>
      <c r="P27" s="5">
        <f>IF(NOT(ISERR(FACT($C$3)/(FACT(P$3)*FACT($C$3-2*P$3-$E27)*FACT($E27+P$3))*($C$10^P$3)*($C$9^($C$3-2*P$3-$E27))*($C$8^($E27+P$3)))),FACT($C$3)/(FACT(P$3)*FACT($C$3-2*P$3-$E27)*FACT($E27+P$3))*($C$10^P$3)*($C$9^($C$3-2*P$3-$E27))*($C$8^($E27+P$3)),0)</f>
        <v>0</v>
      </c>
      <c r="Q27" s="5">
        <f>IF(NOT(ISERR(FACT($C$3)/(FACT(Q$3)*FACT($C$3-2*Q$3-$E27)*FACT($E27+Q$3))*($C$10^Q$3)*($C$9^($C$3-2*Q$3-$E27))*($C$8^($E27+Q$3)))),FACT($C$3)/(FACT(Q$3)*FACT($C$3-2*Q$3-$E27)*FACT($E27+Q$3))*($C$10^Q$3)*($C$9^($C$3-2*Q$3-$E27))*($C$8^($E27+Q$3)),0)</f>
        <v>0</v>
      </c>
      <c r="R27" s="5">
        <f>IF(NOT(ISERR(FACT($C$3)/(FACT(R$3)*FACT($C$3-2*R$3-$E27)*FACT($E27+R$3))*($C$10^R$3)*($C$9^($C$3-2*R$3-$E27))*($C$8^($E27+R$3)))),FACT($C$3)/(FACT(R$3)*FACT($C$3-2*R$3-$E27)*FACT($E27+R$3))*($C$10^R$3)*($C$9^($C$3-2*R$3-$E27))*($C$8^($E27+R$3)),0)</f>
        <v>0</v>
      </c>
      <c r="S27" s="5">
        <f>IF(NOT(ISERR(FACT($C$3)/(FACT(S$3)*FACT($C$3-2*S$3-$E27)*FACT($E27+S$3))*($C$10^S$3)*($C$9^($C$3-2*S$3-$E27))*($C$8^($E27+S$3)))),FACT($C$3)/(FACT(S$3)*FACT($C$3-2*S$3-$E27)*FACT($E27+S$3))*($C$10^S$3)*($C$9^($C$3-2*S$3-$E27))*($C$8^($E27+S$3)),0)</f>
        <v>0</v>
      </c>
      <c r="T27" s="5">
        <f>IF(NOT(ISERR(FACT($C$3)/(FACT(T$3)*FACT($C$3-2*T$3-$E27)*FACT($E27+T$3))*($C$10^T$3)*($C$9^($C$3-2*T$3-$E27))*($C$8^($E27+T$3)))),FACT($C$3)/(FACT(T$3)*FACT($C$3-2*T$3-$E27)*FACT($E27+T$3))*($C$10^T$3)*($C$9^($C$3-2*T$3-$E27))*($C$8^($E27+T$3)),0)</f>
        <v>0</v>
      </c>
      <c r="U27" s="5">
        <f>IF(NOT(ISERR(FACT($C$3)/(FACT(U$3)*FACT($C$3-2*U$3-$E27)*FACT($E27+U$3))*($C$10^U$3)*($C$9^($C$3-2*U$3-$E27))*($C$8^($E27+U$3)))),FACT($C$3)/(FACT(U$3)*FACT($C$3-2*U$3-$E27)*FACT($E27+U$3))*($C$10^U$3)*($C$9^($C$3-2*U$3-$E27))*($C$8^($E27+U$3)),0)</f>
        <v>0</v>
      </c>
      <c r="V27" s="5">
        <f>IF(NOT(ISERR(FACT($C$3)/(FACT(V$3)*FACT($C$3-2*V$3-$E27)*FACT($E27+V$3))*($C$10^V$3)*($C$9^($C$3-2*V$3-$E27))*($C$8^($E27+V$3)))),FACT($C$3)/(FACT(V$3)*FACT($C$3-2*V$3-$E27)*FACT($E27+V$3))*($C$10^V$3)*($C$9^($C$3-2*V$3-$E27))*($C$8^($E27+V$3)),0)</f>
        <v>0</v>
      </c>
      <c r="W27" s="5">
        <f>IF(NOT(ISERR(FACT($C$3)/(FACT(W$3)*FACT($C$3-2*W$3-$E27)*FACT($E27+W$3))*($C$10^W$3)*($C$9^($C$3-2*W$3-$E27))*($C$8^($E27+W$3)))),FACT($C$3)/(FACT(W$3)*FACT($C$3-2*W$3-$E27)*FACT($E27+W$3))*($C$10^W$3)*($C$9^($C$3-2*W$3-$E27))*($C$8^($E27+W$3)),0)</f>
        <v>0</v>
      </c>
    </row>
    <row r="28" spans="5:23" x14ac:dyDescent="0.25">
      <c r="E28" s="4">
        <f t="shared" si="3"/>
        <v>16</v>
      </c>
      <c r="F28" s="6">
        <f t="shared" si="4"/>
        <v>0</v>
      </c>
      <c r="G28" s="1"/>
      <c r="H28" s="5">
        <f>IF(NOT(ISERR(FACT($C$3)/(FACT(H$3)*FACT($C$3-2*H$3-$E28)*FACT($E28+H$3))*($C$10^H$3)*($C$9^($C$3-2*H$3-$E28))*($C$8^($E28+H$3)))),FACT($C$3)/(FACT(H$3)*FACT($C$3-2*H$3-$E28)*FACT($E28+H$3))*($C$10^H$3)*($C$9^($C$3-2*H$3-$E28))*($C$8^($E28+H$3)),0)</f>
        <v>0</v>
      </c>
      <c r="I28" s="5">
        <f>IF(NOT(ISERR(FACT($C$3)/(FACT(I$3)*FACT($C$3-2*I$3-$E28)*FACT($E28+I$3))*($C$10^I$3)*($C$9^($C$3-2*I$3-$E28))*($C$8^($E28+I$3)))),FACT($C$3)/(FACT(I$3)*FACT($C$3-2*I$3-$E28)*FACT($E28+I$3))*($C$10^I$3)*($C$9^($C$3-2*I$3-$E28))*($C$8^($E28+I$3)),0)</f>
        <v>0</v>
      </c>
      <c r="J28" s="5">
        <f>IF(NOT(ISERR(FACT($C$3)/(FACT(J$3)*FACT($C$3-2*J$3-$E28)*FACT($E28+J$3))*($C$10^J$3)*($C$9^($C$3-2*J$3-$E28))*($C$8^($E28+J$3)))),FACT($C$3)/(FACT(J$3)*FACT($C$3-2*J$3-$E28)*FACT($E28+J$3))*($C$10^J$3)*($C$9^($C$3-2*J$3-$E28))*($C$8^($E28+J$3)),0)</f>
        <v>0</v>
      </c>
      <c r="K28" s="5">
        <f>IF(NOT(ISERR(FACT($C$3)/(FACT(K$3)*FACT($C$3-2*K$3-$E28)*FACT($E28+K$3))*($C$10^K$3)*($C$9^($C$3-2*K$3-$E28))*($C$8^($E28+K$3)))),FACT($C$3)/(FACT(K$3)*FACT($C$3-2*K$3-$E28)*FACT($E28+K$3))*($C$10^K$3)*($C$9^($C$3-2*K$3-$E28))*($C$8^($E28+K$3)),0)</f>
        <v>0</v>
      </c>
      <c r="L28" s="5">
        <f>IF(NOT(ISERR(FACT($C$3)/(FACT(L$3)*FACT($C$3-2*L$3-$E28)*FACT($E28+L$3))*($C$10^L$3)*($C$9^($C$3-2*L$3-$E28))*($C$8^($E28+L$3)))),FACT($C$3)/(FACT(L$3)*FACT($C$3-2*L$3-$E28)*FACT($E28+L$3))*($C$10^L$3)*($C$9^($C$3-2*L$3-$E28))*($C$8^($E28+L$3)),0)</f>
        <v>0</v>
      </c>
      <c r="M28" s="5">
        <f>IF(NOT(ISERR(FACT($C$3)/(FACT(M$3)*FACT($C$3-2*M$3-$E28)*FACT($E28+M$3))*($C$10^M$3)*($C$9^($C$3-2*M$3-$E28))*($C$8^($E28+M$3)))),FACT($C$3)/(FACT(M$3)*FACT($C$3-2*M$3-$E28)*FACT($E28+M$3))*($C$10^M$3)*($C$9^($C$3-2*M$3-$E28))*($C$8^($E28+M$3)),0)</f>
        <v>0</v>
      </c>
      <c r="N28" s="5">
        <f>IF(NOT(ISERR(FACT($C$3)/(FACT(N$3)*FACT($C$3-2*N$3-$E28)*FACT($E28+N$3))*($C$10^N$3)*($C$9^($C$3-2*N$3-$E28))*($C$8^($E28+N$3)))),FACT($C$3)/(FACT(N$3)*FACT($C$3-2*N$3-$E28)*FACT($E28+N$3))*($C$10^N$3)*($C$9^($C$3-2*N$3-$E28))*($C$8^($E28+N$3)),0)</f>
        <v>0</v>
      </c>
      <c r="O28" s="5">
        <f>IF(NOT(ISERR(FACT($C$3)/(FACT(O$3)*FACT($C$3-2*O$3-$E28)*FACT($E28+O$3))*($C$10^O$3)*($C$9^($C$3-2*O$3-$E28))*($C$8^($E28+O$3)))),FACT($C$3)/(FACT(O$3)*FACT($C$3-2*O$3-$E28)*FACT($E28+O$3))*($C$10^O$3)*($C$9^($C$3-2*O$3-$E28))*($C$8^($E28+O$3)),0)</f>
        <v>0</v>
      </c>
      <c r="P28" s="5">
        <f>IF(NOT(ISERR(FACT($C$3)/(FACT(P$3)*FACT($C$3-2*P$3-$E28)*FACT($E28+P$3))*($C$10^P$3)*($C$9^($C$3-2*P$3-$E28))*($C$8^($E28+P$3)))),FACT($C$3)/(FACT(P$3)*FACT($C$3-2*P$3-$E28)*FACT($E28+P$3))*($C$10^P$3)*($C$9^($C$3-2*P$3-$E28))*($C$8^($E28+P$3)),0)</f>
        <v>0</v>
      </c>
      <c r="Q28" s="5">
        <f>IF(NOT(ISERR(FACT($C$3)/(FACT(Q$3)*FACT($C$3-2*Q$3-$E28)*FACT($E28+Q$3))*($C$10^Q$3)*($C$9^($C$3-2*Q$3-$E28))*($C$8^($E28+Q$3)))),FACT($C$3)/(FACT(Q$3)*FACT($C$3-2*Q$3-$E28)*FACT($E28+Q$3))*($C$10^Q$3)*($C$9^($C$3-2*Q$3-$E28))*($C$8^($E28+Q$3)),0)</f>
        <v>0</v>
      </c>
      <c r="R28" s="5">
        <f>IF(NOT(ISERR(FACT($C$3)/(FACT(R$3)*FACT($C$3-2*R$3-$E28)*FACT($E28+R$3))*($C$10^R$3)*($C$9^($C$3-2*R$3-$E28))*($C$8^($E28+R$3)))),FACT($C$3)/(FACT(R$3)*FACT($C$3-2*R$3-$E28)*FACT($E28+R$3))*($C$10^R$3)*($C$9^($C$3-2*R$3-$E28))*($C$8^($E28+R$3)),0)</f>
        <v>0</v>
      </c>
      <c r="S28" s="5">
        <f>IF(NOT(ISERR(FACT($C$3)/(FACT(S$3)*FACT($C$3-2*S$3-$E28)*FACT($E28+S$3))*($C$10^S$3)*($C$9^($C$3-2*S$3-$E28))*($C$8^($E28+S$3)))),FACT($C$3)/(FACT(S$3)*FACT($C$3-2*S$3-$E28)*FACT($E28+S$3))*($C$10^S$3)*($C$9^($C$3-2*S$3-$E28))*($C$8^($E28+S$3)),0)</f>
        <v>0</v>
      </c>
      <c r="T28" s="5">
        <f>IF(NOT(ISERR(FACT($C$3)/(FACT(T$3)*FACT($C$3-2*T$3-$E28)*FACT($E28+T$3))*($C$10^T$3)*($C$9^($C$3-2*T$3-$E28))*($C$8^($E28+T$3)))),FACT($C$3)/(FACT(T$3)*FACT($C$3-2*T$3-$E28)*FACT($E28+T$3))*($C$10^T$3)*($C$9^($C$3-2*T$3-$E28))*($C$8^($E28+T$3)),0)</f>
        <v>0</v>
      </c>
      <c r="U28" s="5">
        <f>IF(NOT(ISERR(FACT($C$3)/(FACT(U$3)*FACT($C$3-2*U$3-$E28)*FACT($E28+U$3))*($C$10^U$3)*($C$9^($C$3-2*U$3-$E28))*($C$8^($E28+U$3)))),FACT($C$3)/(FACT(U$3)*FACT($C$3-2*U$3-$E28)*FACT($E28+U$3))*($C$10^U$3)*($C$9^($C$3-2*U$3-$E28))*($C$8^($E28+U$3)),0)</f>
        <v>0</v>
      </c>
      <c r="V28" s="5">
        <f>IF(NOT(ISERR(FACT($C$3)/(FACT(V$3)*FACT($C$3-2*V$3-$E28)*FACT($E28+V$3))*($C$10^V$3)*($C$9^($C$3-2*V$3-$E28))*($C$8^($E28+V$3)))),FACT($C$3)/(FACT(V$3)*FACT($C$3-2*V$3-$E28)*FACT($E28+V$3))*($C$10^V$3)*($C$9^($C$3-2*V$3-$E28))*($C$8^($E28+V$3)),0)</f>
        <v>0</v>
      </c>
      <c r="W28" s="5">
        <f>IF(NOT(ISERR(FACT($C$3)/(FACT(W$3)*FACT($C$3-2*W$3-$E28)*FACT($E28+W$3))*($C$10^W$3)*($C$9^($C$3-2*W$3-$E28))*($C$8^($E28+W$3)))),FACT($C$3)/(FACT(W$3)*FACT($C$3-2*W$3-$E28)*FACT($E28+W$3))*($C$10^W$3)*($C$9^($C$3-2*W$3-$E28))*($C$8^($E28+W$3)),0)</f>
        <v>0</v>
      </c>
    </row>
    <row r="29" spans="5:23" x14ac:dyDescent="0.25">
      <c r="E29" s="4">
        <f t="shared" si="3"/>
        <v>17</v>
      </c>
      <c r="F29" s="6">
        <f t="shared" si="4"/>
        <v>0</v>
      </c>
      <c r="G29" s="1"/>
      <c r="H29" s="5">
        <f>IF(NOT(ISERR(FACT($C$3)/(FACT(H$3)*FACT($C$3-2*H$3-$E29)*FACT($E29+H$3))*($C$10^H$3)*($C$9^($C$3-2*H$3-$E29))*($C$8^($E29+H$3)))),FACT($C$3)/(FACT(H$3)*FACT($C$3-2*H$3-$E29)*FACT($E29+H$3))*($C$10^H$3)*($C$9^($C$3-2*H$3-$E29))*($C$8^($E29+H$3)),0)</f>
        <v>0</v>
      </c>
      <c r="I29" s="5">
        <f>IF(NOT(ISERR(FACT($C$3)/(FACT(I$3)*FACT($C$3-2*I$3-$E29)*FACT($E29+I$3))*($C$10^I$3)*($C$9^($C$3-2*I$3-$E29))*($C$8^($E29+I$3)))),FACT($C$3)/(FACT(I$3)*FACT($C$3-2*I$3-$E29)*FACT($E29+I$3))*($C$10^I$3)*($C$9^($C$3-2*I$3-$E29))*($C$8^($E29+I$3)),0)</f>
        <v>0</v>
      </c>
      <c r="J29" s="5">
        <f>IF(NOT(ISERR(FACT($C$3)/(FACT(J$3)*FACT($C$3-2*J$3-$E29)*FACT($E29+J$3))*($C$10^J$3)*($C$9^($C$3-2*J$3-$E29))*($C$8^($E29+J$3)))),FACT($C$3)/(FACT(J$3)*FACT($C$3-2*J$3-$E29)*FACT($E29+J$3))*($C$10^J$3)*($C$9^($C$3-2*J$3-$E29))*($C$8^($E29+J$3)),0)</f>
        <v>0</v>
      </c>
      <c r="K29" s="5">
        <f>IF(NOT(ISERR(FACT($C$3)/(FACT(K$3)*FACT($C$3-2*K$3-$E29)*FACT($E29+K$3))*($C$10^K$3)*($C$9^($C$3-2*K$3-$E29))*($C$8^($E29+K$3)))),FACT($C$3)/(FACT(K$3)*FACT($C$3-2*K$3-$E29)*FACT($E29+K$3))*($C$10^K$3)*($C$9^($C$3-2*K$3-$E29))*($C$8^($E29+K$3)),0)</f>
        <v>0</v>
      </c>
      <c r="L29" s="5">
        <f>IF(NOT(ISERR(FACT($C$3)/(FACT(L$3)*FACT($C$3-2*L$3-$E29)*FACT($E29+L$3))*($C$10^L$3)*($C$9^($C$3-2*L$3-$E29))*($C$8^($E29+L$3)))),FACT($C$3)/(FACT(L$3)*FACT($C$3-2*L$3-$E29)*FACT($E29+L$3))*($C$10^L$3)*($C$9^($C$3-2*L$3-$E29))*($C$8^($E29+L$3)),0)</f>
        <v>0</v>
      </c>
      <c r="M29" s="5">
        <f>IF(NOT(ISERR(FACT($C$3)/(FACT(M$3)*FACT($C$3-2*M$3-$E29)*FACT($E29+M$3))*($C$10^M$3)*($C$9^($C$3-2*M$3-$E29))*($C$8^($E29+M$3)))),FACT($C$3)/(FACT(M$3)*FACT($C$3-2*M$3-$E29)*FACT($E29+M$3))*($C$10^M$3)*($C$9^($C$3-2*M$3-$E29))*($C$8^($E29+M$3)),0)</f>
        <v>0</v>
      </c>
      <c r="N29" s="5">
        <f>IF(NOT(ISERR(FACT($C$3)/(FACT(N$3)*FACT($C$3-2*N$3-$E29)*FACT($E29+N$3))*($C$10^N$3)*($C$9^($C$3-2*N$3-$E29))*($C$8^($E29+N$3)))),FACT($C$3)/(FACT(N$3)*FACT($C$3-2*N$3-$E29)*FACT($E29+N$3))*($C$10^N$3)*($C$9^($C$3-2*N$3-$E29))*($C$8^($E29+N$3)),0)</f>
        <v>0</v>
      </c>
      <c r="O29" s="5">
        <f>IF(NOT(ISERR(FACT($C$3)/(FACT(O$3)*FACT($C$3-2*O$3-$E29)*FACT($E29+O$3))*($C$10^O$3)*($C$9^($C$3-2*O$3-$E29))*($C$8^($E29+O$3)))),FACT($C$3)/(FACT(O$3)*FACT($C$3-2*O$3-$E29)*FACT($E29+O$3))*($C$10^O$3)*($C$9^($C$3-2*O$3-$E29))*($C$8^($E29+O$3)),0)</f>
        <v>0</v>
      </c>
      <c r="P29" s="5">
        <f>IF(NOT(ISERR(FACT($C$3)/(FACT(P$3)*FACT($C$3-2*P$3-$E29)*FACT($E29+P$3))*($C$10^P$3)*($C$9^($C$3-2*P$3-$E29))*($C$8^($E29+P$3)))),FACT($C$3)/(FACT(P$3)*FACT($C$3-2*P$3-$E29)*FACT($E29+P$3))*($C$10^P$3)*($C$9^($C$3-2*P$3-$E29))*($C$8^($E29+P$3)),0)</f>
        <v>0</v>
      </c>
      <c r="Q29" s="5">
        <f>IF(NOT(ISERR(FACT($C$3)/(FACT(Q$3)*FACT($C$3-2*Q$3-$E29)*FACT($E29+Q$3))*($C$10^Q$3)*($C$9^($C$3-2*Q$3-$E29))*($C$8^($E29+Q$3)))),FACT($C$3)/(FACT(Q$3)*FACT($C$3-2*Q$3-$E29)*FACT($E29+Q$3))*($C$10^Q$3)*($C$9^($C$3-2*Q$3-$E29))*($C$8^($E29+Q$3)),0)</f>
        <v>0</v>
      </c>
      <c r="R29" s="5">
        <f>IF(NOT(ISERR(FACT($C$3)/(FACT(R$3)*FACT($C$3-2*R$3-$E29)*FACT($E29+R$3))*($C$10^R$3)*($C$9^($C$3-2*R$3-$E29))*($C$8^($E29+R$3)))),FACT($C$3)/(FACT(R$3)*FACT($C$3-2*R$3-$E29)*FACT($E29+R$3))*($C$10^R$3)*($C$9^($C$3-2*R$3-$E29))*($C$8^($E29+R$3)),0)</f>
        <v>0</v>
      </c>
      <c r="S29" s="5">
        <f>IF(NOT(ISERR(FACT($C$3)/(FACT(S$3)*FACT($C$3-2*S$3-$E29)*FACT($E29+S$3))*($C$10^S$3)*($C$9^($C$3-2*S$3-$E29))*($C$8^($E29+S$3)))),FACT($C$3)/(FACT(S$3)*FACT($C$3-2*S$3-$E29)*FACT($E29+S$3))*($C$10^S$3)*($C$9^($C$3-2*S$3-$E29))*($C$8^($E29+S$3)),0)</f>
        <v>0</v>
      </c>
      <c r="T29" s="5">
        <f>IF(NOT(ISERR(FACT($C$3)/(FACT(T$3)*FACT($C$3-2*T$3-$E29)*FACT($E29+T$3))*($C$10^T$3)*($C$9^($C$3-2*T$3-$E29))*($C$8^($E29+T$3)))),FACT($C$3)/(FACT(T$3)*FACT($C$3-2*T$3-$E29)*FACT($E29+T$3))*($C$10^T$3)*($C$9^($C$3-2*T$3-$E29))*($C$8^($E29+T$3)),0)</f>
        <v>0</v>
      </c>
      <c r="U29" s="5">
        <f>IF(NOT(ISERR(FACT($C$3)/(FACT(U$3)*FACT($C$3-2*U$3-$E29)*FACT($E29+U$3))*($C$10^U$3)*($C$9^($C$3-2*U$3-$E29))*($C$8^($E29+U$3)))),FACT($C$3)/(FACT(U$3)*FACT($C$3-2*U$3-$E29)*FACT($E29+U$3))*($C$10^U$3)*($C$9^($C$3-2*U$3-$E29))*($C$8^($E29+U$3)),0)</f>
        <v>0</v>
      </c>
      <c r="V29" s="5">
        <f>IF(NOT(ISERR(FACT($C$3)/(FACT(V$3)*FACT($C$3-2*V$3-$E29)*FACT($E29+V$3))*($C$10^V$3)*($C$9^($C$3-2*V$3-$E29))*($C$8^($E29+V$3)))),FACT($C$3)/(FACT(V$3)*FACT($C$3-2*V$3-$E29)*FACT($E29+V$3))*($C$10^V$3)*($C$9^($C$3-2*V$3-$E29))*($C$8^($E29+V$3)),0)</f>
        <v>0</v>
      </c>
      <c r="W29" s="5">
        <f>IF(NOT(ISERR(FACT($C$3)/(FACT(W$3)*FACT($C$3-2*W$3-$E29)*FACT($E29+W$3))*($C$10^W$3)*($C$9^($C$3-2*W$3-$E29))*($C$8^($E29+W$3)))),FACT($C$3)/(FACT(W$3)*FACT($C$3-2*W$3-$E29)*FACT($E29+W$3))*($C$10^W$3)*($C$9^($C$3-2*W$3-$E29))*($C$8^($E29+W$3)),0)</f>
        <v>0</v>
      </c>
    </row>
    <row r="30" spans="5:23" x14ac:dyDescent="0.25">
      <c r="E30" s="4">
        <f t="shared" ref="E30:E34" si="5">E29+1</f>
        <v>18</v>
      </c>
      <c r="F30" s="6">
        <f t="shared" ref="F30:F34" si="6">SUM(H30:W30)</f>
        <v>0</v>
      </c>
      <c r="G30" s="1"/>
      <c r="H30" s="5">
        <f>IF(NOT(ISERR(FACT($C$3)/(FACT(H$3)*FACT($C$3-2*H$3-$E30)*FACT($E30+H$3))*($C$10^H$3)*($C$9^($C$3-2*H$3-$E30))*($C$8^($E30+H$3)))),FACT($C$3)/(FACT(H$3)*FACT($C$3-2*H$3-$E30)*FACT($E30+H$3))*($C$10^H$3)*($C$9^($C$3-2*H$3-$E30))*($C$8^($E30+H$3)),0)</f>
        <v>0</v>
      </c>
      <c r="I30" s="5">
        <f>IF(NOT(ISERR(FACT($C$3)/(FACT(I$3)*FACT($C$3-2*I$3-$E30)*FACT($E30+I$3))*($C$10^I$3)*($C$9^($C$3-2*I$3-$E30))*($C$8^($E30+I$3)))),FACT($C$3)/(FACT(I$3)*FACT($C$3-2*I$3-$E30)*FACT($E30+I$3))*($C$10^I$3)*($C$9^($C$3-2*I$3-$E30))*($C$8^($E30+I$3)),0)</f>
        <v>0</v>
      </c>
      <c r="J30" s="5">
        <f>IF(NOT(ISERR(FACT($C$3)/(FACT(J$3)*FACT($C$3-2*J$3-$E30)*FACT($E30+J$3))*($C$10^J$3)*($C$9^($C$3-2*J$3-$E30))*($C$8^($E30+J$3)))),FACT($C$3)/(FACT(J$3)*FACT($C$3-2*J$3-$E30)*FACT($E30+J$3))*($C$10^J$3)*($C$9^($C$3-2*J$3-$E30))*($C$8^($E30+J$3)),0)</f>
        <v>0</v>
      </c>
      <c r="K30" s="5">
        <f>IF(NOT(ISERR(FACT($C$3)/(FACT(K$3)*FACT($C$3-2*K$3-$E30)*FACT($E30+K$3))*($C$10^K$3)*($C$9^($C$3-2*K$3-$E30))*($C$8^($E30+K$3)))),FACT($C$3)/(FACT(K$3)*FACT($C$3-2*K$3-$E30)*FACT($E30+K$3))*($C$10^K$3)*($C$9^($C$3-2*K$3-$E30))*($C$8^($E30+K$3)),0)</f>
        <v>0</v>
      </c>
      <c r="L30" s="5">
        <f>IF(NOT(ISERR(FACT($C$3)/(FACT(L$3)*FACT($C$3-2*L$3-$E30)*FACT($E30+L$3))*($C$10^L$3)*($C$9^($C$3-2*L$3-$E30))*($C$8^($E30+L$3)))),FACT($C$3)/(FACT(L$3)*FACT($C$3-2*L$3-$E30)*FACT($E30+L$3))*($C$10^L$3)*($C$9^($C$3-2*L$3-$E30))*($C$8^($E30+L$3)),0)</f>
        <v>0</v>
      </c>
      <c r="M30" s="5">
        <f>IF(NOT(ISERR(FACT($C$3)/(FACT(M$3)*FACT($C$3-2*M$3-$E30)*FACT($E30+M$3))*($C$10^M$3)*($C$9^($C$3-2*M$3-$E30))*($C$8^($E30+M$3)))),FACT($C$3)/(FACT(M$3)*FACT($C$3-2*M$3-$E30)*FACT($E30+M$3))*($C$10^M$3)*($C$9^($C$3-2*M$3-$E30))*($C$8^($E30+M$3)),0)</f>
        <v>0</v>
      </c>
      <c r="N30" s="5">
        <f>IF(NOT(ISERR(FACT($C$3)/(FACT(N$3)*FACT($C$3-2*N$3-$E30)*FACT($E30+N$3))*($C$10^N$3)*($C$9^($C$3-2*N$3-$E30))*($C$8^($E30+N$3)))),FACT($C$3)/(FACT(N$3)*FACT($C$3-2*N$3-$E30)*FACT($E30+N$3))*($C$10^N$3)*($C$9^($C$3-2*N$3-$E30))*($C$8^($E30+N$3)),0)</f>
        <v>0</v>
      </c>
      <c r="O30" s="5">
        <f>IF(NOT(ISERR(FACT($C$3)/(FACT(O$3)*FACT($C$3-2*O$3-$E30)*FACT($E30+O$3))*($C$10^O$3)*($C$9^($C$3-2*O$3-$E30))*($C$8^($E30+O$3)))),FACT($C$3)/(FACT(O$3)*FACT($C$3-2*O$3-$E30)*FACT($E30+O$3))*($C$10^O$3)*($C$9^($C$3-2*O$3-$E30))*($C$8^($E30+O$3)),0)</f>
        <v>0</v>
      </c>
      <c r="P30" s="5">
        <f>IF(NOT(ISERR(FACT($C$3)/(FACT(P$3)*FACT($C$3-2*P$3-$E30)*FACT($E30+P$3))*($C$10^P$3)*($C$9^($C$3-2*P$3-$E30))*($C$8^($E30+P$3)))),FACT($C$3)/(FACT(P$3)*FACT($C$3-2*P$3-$E30)*FACT($E30+P$3))*($C$10^P$3)*($C$9^($C$3-2*P$3-$E30))*($C$8^($E30+P$3)),0)</f>
        <v>0</v>
      </c>
      <c r="Q30" s="5">
        <f>IF(NOT(ISERR(FACT($C$3)/(FACT(Q$3)*FACT($C$3-2*Q$3-$E30)*FACT($E30+Q$3))*($C$10^Q$3)*($C$9^($C$3-2*Q$3-$E30))*($C$8^($E30+Q$3)))),FACT($C$3)/(FACT(Q$3)*FACT($C$3-2*Q$3-$E30)*FACT($E30+Q$3))*($C$10^Q$3)*($C$9^($C$3-2*Q$3-$E30))*($C$8^($E30+Q$3)),0)</f>
        <v>0</v>
      </c>
      <c r="R30" s="5">
        <f>IF(NOT(ISERR(FACT($C$3)/(FACT(R$3)*FACT($C$3-2*R$3-$E30)*FACT($E30+R$3))*($C$10^R$3)*($C$9^($C$3-2*R$3-$E30))*($C$8^($E30+R$3)))),FACT($C$3)/(FACT(R$3)*FACT($C$3-2*R$3-$E30)*FACT($E30+R$3))*($C$10^R$3)*($C$9^($C$3-2*R$3-$E30))*($C$8^($E30+R$3)),0)</f>
        <v>0</v>
      </c>
      <c r="S30" s="5">
        <f>IF(NOT(ISERR(FACT($C$3)/(FACT(S$3)*FACT($C$3-2*S$3-$E30)*FACT($E30+S$3))*($C$10^S$3)*($C$9^($C$3-2*S$3-$E30))*($C$8^($E30+S$3)))),FACT($C$3)/(FACT(S$3)*FACT($C$3-2*S$3-$E30)*FACT($E30+S$3))*($C$10^S$3)*($C$9^($C$3-2*S$3-$E30))*($C$8^($E30+S$3)),0)</f>
        <v>0</v>
      </c>
      <c r="T30" s="5">
        <f>IF(NOT(ISERR(FACT($C$3)/(FACT(T$3)*FACT($C$3-2*T$3-$E30)*FACT($E30+T$3))*($C$10^T$3)*($C$9^($C$3-2*T$3-$E30))*($C$8^($E30+T$3)))),FACT($C$3)/(FACT(T$3)*FACT($C$3-2*T$3-$E30)*FACT($E30+T$3))*($C$10^T$3)*($C$9^($C$3-2*T$3-$E30))*($C$8^($E30+T$3)),0)</f>
        <v>0</v>
      </c>
      <c r="U30" s="5">
        <f>IF(NOT(ISERR(FACT($C$3)/(FACT(U$3)*FACT($C$3-2*U$3-$E30)*FACT($E30+U$3))*($C$10^U$3)*($C$9^($C$3-2*U$3-$E30))*($C$8^($E30+U$3)))),FACT($C$3)/(FACT(U$3)*FACT($C$3-2*U$3-$E30)*FACT($E30+U$3))*($C$10^U$3)*($C$9^($C$3-2*U$3-$E30))*($C$8^($E30+U$3)),0)</f>
        <v>0</v>
      </c>
      <c r="V30" s="5">
        <f>IF(NOT(ISERR(FACT($C$3)/(FACT(V$3)*FACT($C$3-2*V$3-$E30)*FACT($E30+V$3))*($C$10^V$3)*($C$9^($C$3-2*V$3-$E30))*($C$8^($E30+V$3)))),FACT($C$3)/(FACT(V$3)*FACT($C$3-2*V$3-$E30)*FACT($E30+V$3))*($C$10^V$3)*($C$9^($C$3-2*V$3-$E30))*($C$8^($E30+V$3)),0)</f>
        <v>0</v>
      </c>
      <c r="W30" s="5">
        <f>IF(NOT(ISERR(FACT($C$3)/(FACT(W$3)*FACT($C$3-2*W$3-$E30)*FACT($E30+W$3))*($C$10^W$3)*($C$9^($C$3-2*W$3-$E30))*($C$8^($E30+W$3)))),FACT($C$3)/(FACT(W$3)*FACT($C$3-2*W$3-$E30)*FACT($E30+W$3))*($C$10^W$3)*($C$9^($C$3-2*W$3-$E30))*($C$8^($E30+W$3)),0)</f>
        <v>0</v>
      </c>
    </row>
    <row r="31" spans="5:23" x14ac:dyDescent="0.25">
      <c r="E31" s="4">
        <f t="shared" si="5"/>
        <v>19</v>
      </c>
      <c r="F31" s="6">
        <f t="shared" si="6"/>
        <v>0</v>
      </c>
      <c r="G31" s="1"/>
      <c r="H31" s="5">
        <f>IF(NOT(ISERR(FACT($C$3)/(FACT(H$3)*FACT($C$3-2*H$3-$E31)*FACT($E31+H$3))*($C$10^H$3)*($C$9^($C$3-2*H$3-$E31))*($C$8^($E31+H$3)))),FACT($C$3)/(FACT(H$3)*FACT($C$3-2*H$3-$E31)*FACT($E31+H$3))*($C$10^H$3)*($C$9^($C$3-2*H$3-$E31))*($C$8^($E31+H$3)),0)</f>
        <v>0</v>
      </c>
      <c r="I31" s="5">
        <f>IF(NOT(ISERR(FACT($C$3)/(FACT(I$3)*FACT($C$3-2*I$3-$E31)*FACT($E31+I$3))*($C$10^I$3)*($C$9^($C$3-2*I$3-$E31))*($C$8^($E31+I$3)))),FACT($C$3)/(FACT(I$3)*FACT($C$3-2*I$3-$E31)*FACT($E31+I$3))*($C$10^I$3)*($C$9^($C$3-2*I$3-$E31))*($C$8^($E31+I$3)),0)</f>
        <v>0</v>
      </c>
      <c r="J31" s="5">
        <f>IF(NOT(ISERR(FACT($C$3)/(FACT(J$3)*FACT($C$3-2*J$3-$E31)*FACT($E31+J$3))*($C$10^J$3)*($C$9^($C$3-2*J$3-$E31))*($C$8^($E31+J$3)))),FACT($C$3)/(FACT(J$3)*FACT($C$3-2*J$3-$E31)*FACT($E31+J$3))*($C$10^J$3)*($C$9^($C$3-2*J$3-$E31))*($C$8^($E31+J$3)),0)</f>
        <v>0</v>
      </c>
      <c r="K31" s="5">
        <f>IF(NOT(ISERR(FACT($C$3)/(FACT(K$3)*FACT($C$3-2*K$3-$E31)*FACT($E31+K$3))*($C$10^K$3)*($C$9^($C$3-2*K$3-$E31))*($C$8^($E31+K$3)))),FACT($C$3)/(FACT(K$3)*FACT($C$3-2*K$3-$E31)*FACT($E31+K$3))*($C$10^K$3)*($C$9^($C$3-2*K$3-$E31))*($C$8^($E31+K$3)),0)</f>
        <v>0</v>
      </c>
      <c r="L31" s="5">
        <f>IF(NOT(ISERR(FACT($C$3)/(FACT(L$3)*FACT($C$3-2*L$3-$E31)*FACT($E31+L$3))*($C$10^L$3)*($C$9^($C$3-2*L$3-$E31))*($C$8^($E31+L$3)))),FACT($C$3)/(FACT(L$3)*FACT($C$3-2*L$3-$E31)*FACT($E31+L$3))*($C$10^L$3)*($C$9^($C$3-2*L$3-$E31))*($C$8^($E31+L$3)),0)</f>
        <v>0</v>
      </c>
      <c r="M31" s="5">
        <f>IF(NOT(ISERR(FACT($C$3)/(FACT(M$3)*FACT($C$3-2*M$3-$E31)*FACT($E31+M$3))*($C$10^M$3)*($C$9^($C$3-2*M$3-$E31))*($C$8^($E31+M$3)))),FACT($C$3)/(FACT(M$3)*FACT($C$3-2*M$3-$E31)*FACT($E31+M$3))*($C$10^M$3)*($C$9^($C$3-2*M$3-$E31))*($C$8^($E31+M$3)),0)</f>
        <v>0</v>
      </c>
      <c r="N31" s="5">
        <f>IF(NOT(ISERR(FACT($C$3)/(FACT(N$3)*FACT($C$3-2*N$3-$E31)*FACT($E31+N$3))*($C$10^N$3)*($C$9^($C$3-2*N$3-$E31))*($C$8^($E31+N$3)))),FACT($C$3)/(FACT(N$3)*FACT($C$3-2*N$3-$E31)*FACT($E31+N$3))*($C$10^N$3)*($C$9^($C$3-2*N$3-$E31))*($C$8^($E31+N$3)),0)</f>
        <v>0</v>
      </c>
      <c r="O31" s="5">
        <f>IF(NOT(ISERR(FACT($C$3)/(FACT(O$3)*FACT($C$3-2*O$3-$E31)*FACT($E31+O$3))*($C$10^O$3)*($C$9^($C$3-2*O$3-$E31))*($C$8^($E31+O$3)))),FACT($C$3)/(FACT(O$3)*FACT($C$3-2*O$3-$E31)*FACT($E31+O$3))*($C$10^O$3)*($C$9^($C$3-2*O$3-$E31))*($C$8^($E31+O$3)),0)</f>
        <v>0</v>
      </c>
      <c r="P31" s="5">
        <f>IF(NOT(ISERR(FACT($C$3)/(FACT(P$3)*FACT($C$3-2*P$3-$E31)*FACT($E31+P$3))*($C$10^P$3)*($C$9^($C$3-2*P$3-$E31))*($C$8^($E31+P$3)))),FACT($C$3)/(FACT(P$3)*FACT($C$3-2*P$3-$E31)*FACT($E31+P$3))*($C$10^P$3)*($C$9^($C$3-2*P$3-$E31))*($C$8^($E31+P$3)),0)</f>
        <v>0</v>
      </c>
      <c r="Q31" s="5">
        <f>IF(NOT(ISERR(FACT($C$3)/(FACT(Q$3)*FACT($C$3-2*Q$3-$E31)*FACT($E31+Q$3))*($C$10^Q$3)*($C$9^($C$3-2*Q$3-$E31))*($C$8^($E31+Q$3)))),FACT($C$3)/(FACT(Q$3)*FACT($C$3-2*Q$3-$E31)*FACT($E31+Q$3))*($C$10^Q$3)*($C$9^($C$3-2*Q$3-$E31))*($C$8^($E31+Q$3)),0)</f>
        <v>0</v>
      </c>
      <c r="R31" s="5">
        <f>IF(NOT(ISERR(FACT($C$3)/(FACT(R$3)*FACT($C$3-2*R$3-$E31)*FACT($E31+R$3))*($C$10^R$3)*($C$9^($C$3-2*R$3-$E31))*($C$8^($E31+R$3)))),FACT($C$3)/(FACT(R$3)*FACT($C$3-2*R$3-$E31)*FACT($E31+R$3))*($C$10^R$3)*($C$9^($C$3-2*R$3-$E31))*($C$8^($E31+R$3)),0)</f>
        <v>0</v>
      </c>
      <c r="S31" s="5">
        <f>IF(NOT(ISERR(FACT($C$3)/(FACT(S$3)*FACT($C$3-2*S$3-$E31)*FACT($E31+S$3))*($C$10^S$3)*($C$9^($C$3-2*S$3-$E31))*($C$8^($E31+S$3)))),FACT($C$3)/(FACT(S$3)*FACT($C$3-2*S$3-$E31)*FACT($E31+S$3))*($C$10^S$3)*($C$9^($C$3-2*S$3-$E31))*($C$8^($E31+S$3)),0)</f>
        <v>0</v>
      </c>
      <c r="T31" s="5">
        <f>IF(NOT(ISERR(FACT($C$3)/(FACT(T$3)*FACT($C$3-2*T$3-$E31)*FACT($E31+T$3))*($C$10^T$3)*($C$9^($C$3-2*T$3-$E31))*($C$8^($E31+T$3)))),FACT($C$3)/(FACT(T$3)*FACT($C$3-2*T$3-$E31)*FACT($E31+T$3))*($C$10^T$3)*($C$9^($C$3-2*T$3-$E31))*($C$8^($E31+T$3)),0)</f>
        <v>0</v>
      </c>
      <c r="U31" s="5">
        <f>IF(NOT(ISERR(FACT($C$3)/(FACT(U$3)*FACT($C$3-2*U$3-$E31)*FACT($E31+U$3))*($C$10^U$3)*($C$9^($C$3-2*U$3-$E31))*($C$8^($E31+U$3)))),FACT($C$3)/(FACT(U$3)*FACT($C$3-2*U$3-$E31)*FACT($E31+U$3))*($C$10^U$3)*($C$9^($C$3-2*U$3-$E31))*($C$8^($E31+U$3)),0)</f>
        <v>0</v>
      </c>
      <c r="V31" s="5">
        <f>IF(NOT(ISERR(FACT($C$3)/(FACT(V$3)*FACT($C$3-2*V$3-$E31)*FACT($E31+V$3))*($C$10^V$3)*($C$9^($C$3-2*V$3-$E31))*($C$8^($E31+V$3)))),FACT($C$3)/(FACT(V$3)*FACT($C$3-2*V$3-$E31)*FACT($E31+V$3))*($C$10^V$3)*($C$9^($C$3-2*V$3-$E31))*($C$8^($E31+V$3)),0)</f>
        <v>0</v>
      </c>
      <c r="W31" s="5">
        <f>IF(NOT(ISERR(FACT($C$3)/(FACT(W$3)*FACT($C$3-2*W$3-$E31)*FACT($E31+W$3))*($C$10^W$3)*($C$9^($C$3-2*W$3-$E31))*($C$8^($E31+W$3)))),FACT($C$3)/(FACT(W$3)*FACT($C$3-2*W$3-$E31)*FACT($E31+W$3))*($C$10^W$3)*($C$9^($C$3-2*W$3-$E31))*($C$8^($E31+W$3)),0)</f>
        <v>0</v>
      </c>
    </row>
    <row r="32" spans="5:23" x14ac:dyDescent="0.25">
      <c r="E32" s="4">
        <f t="shared" si="5"/>
        <v>20</v>
      </c>
      <c r="F32" s="6">
        <f t="shared" si="6"/>
        <v>0</v>
      </c>
      <c r="G32" s="1"/>
      <c r="H32" s="5">
        <f>IF(NOT(ISERR(FACT($C$3)/(FACT(H$3)*FACT($C$3-2*H$3-$E32)*FACT($E32+H$3))*($C$10^H$3)*($C$9^($C$3-2*H$3-$E32))*($C$8^($E32+H$3)))),FACT($C$3)/(FACT(H$3)*FACT($C$3-2*H$3-$E32)*FACT($E32+H$3))*($C$10^H$3)*($C$9^($C$3-2*H$3-$E32))*($C$8^($E32+H$3)),0)</f>
        <v>0</v>
      </c>
      <c r="I32" s="5">
        <f>IF(NOT(ISERR(FACT($C$3)/(FACT(I$3)*FACT($C$3-2*I$3-$E32)*FACT($E32+I$3))*($C$10^I$3)*($C$9^($C$3-2*I$3-$E32))*($C$8^($E32+I$3)))),FACT($C$3)/(FACT(I$3)*FACT($C$3-2*I$3-$E32)*FACT($E32+I$3))*($C$10^I$3)*($C$9^($C$3-2*I$3-$E32))*($C$8^($E32+I$3)),0)</f>
        <v>0</v>
      </c>
      <c r="J32" s="5">
        <f>IF(NOT(ISERR(FACT($C$3)/(FACT(J$3)*FACT($C$3-2*J$3-$E32)*FACT($E32+J$3))*($C$10^J$3)*($C$9^($C$3-2*J$3-$E32))*($C$8^($E32+J$3)))),FACT($C$3)/(FACT(J$3)*FACT($C$3-2*J$3-$E32)*FACT($E32+J$3))*($C$10^J$3)*($C$9^($C$3-2*J$3-$E32))*($C$8^($E32+J$3)),0)</f>
        <v>0</v>
      </c>
      <c r="K32" s="5">
        <f>IF(NOT(ISERR(FACT($C$3)/(FACT(K$3)*FACT($C$3-2*K$3-$E32)*FACT($E32+K$3))*($C$10^K$3)*($C$9^($C$3-2*K$3-$E32))*($C$8^($E32+K$3)))),FACT($C$3)/(FACT(K$3)*FACT($C$3-2*K$3-$E32)*FACT($E32+K$3))*($C$10^K$3)*($C$9^($C$3-2*K$3-$E32))*($C$8^($E32+K$3)),0)</f>
        <v>0</v>
      </c>
      <c r="L32" s="5">
        <f>IF(NOT(ISERR(FACT($C$3)/(FACT(L$3)*FACT($C$3-2*L$3-$E32)*FACT($E32+L$3))*($C$10^L$3)*($C$9^($C$3-2*L$3-$E32))*($C$8^($E32+L$3)))),FACT($C$3)/(FACT(L$3)*FACT($C$3-2*L$3-$E32)*FACT($E32+L$3))*($C$10^L$3)*($C$9^($C$3-2*L$3-$E32))*($C$8^($E32+L$3)),0)</f>
        <v>0</v>
      </c>
      <c r="M32" s="5">
        <f>IF(NOT(ISERR(FACT($C$3)/(FACT(M$3)*FACT($C$3-2*M$3-$E32)*FACT($E32+M$3))*($C$10^M$3)*($C$9^($C$3-2*M$3-$E32))*($C$8^($E32+M$3)))),FACT($C$3)/(FACT(M$3)*FACT($C$3-2*M$3-$E32)*FACT($E32+M$3))*($C$10^M$3)*($C$9^($C$3-2*M$3-$E32))*($C$8^($E32+M$3)),0)</f>
        <v>0</v>
      </c>
      <c r="N32" s="5">
        <f>IF(NOT(ISERR(FACT($C$3)/(FACT(N$3)*FACT($C$3-2*N$3-$E32)*FACT($E32+N$3))*($C$10^N$3)*($C$9^($C$3-2*N$3-$E32))*($C$8^($E32+N$3)))),FACT($C$3)/(FACT(N$3)*FACT($C$3-2*N$3-$E32)*FACT($E32+N$3))*($C$10^N$3)*($C$9^($C$3-2*N$3-$E32))*($C$8^($E32+N$3)),0)</f>
        <v>0</v>
      </c>
      <c r="O32" s="5">
        <f>IF(NOT(ISERR(FACT($C$3)/(FACT(O$3)*FACT($C$3-2*O$3-$E32)*FACT($E32+O$3))*($C$10^O$3)*($C$9^($C$3-2*O$3-$E32))*($C$8^($E32+O$3)))),FACT($C$3)/(FACT(O$3)*FACT($C$3-2*O$3-$E32)*FACT($E32+O$3))*($C$10^O$3)*($C$9^($C$3-2*O$3-$E32))*($C$8^($E32+O$3)),0)</f>
        <v>0</v>
      </c>
      <c r="P32" s="5">
        <f>IF(NOT(ISERR(FACT($C$3)/(FACT(P$3)*FACT($C$3-2*P$3-$E32)*FACT($E32+P$3))*($C$10^P$3)*($C$9^($C$3-2*P$3-$E32))*($C$8^($E32+P$3)))),FACT($C$3)/(FACT(P$3)*FACT($C$3-2*P$3-$E32)*FACT($E32+P$3))*($C$10^P$3)*($C$9^($C$3-2*P$3-$E32))*($C$8^($E32+P$3)),0)</f>
        <v>0</v>
      </c>
      <c r="Q32" s="5">
        <f>IF(NOT(ISERR(FACT($C$3)/(FACT(Q$3)*FACT($C$3-2*Q$3-$E32)*FACT($E32+Q$3))*($C$10^Q$3)*($C$9^($C$3-2*Q$3-$E32))*($C$8^($E32+Q$3)))),FACT($C$3)/(FACT(Q$3)*FACT($C$3-2*Q$3-$E32)*FACT($E32+Q$3))*($C$10^Q$3)*($C$9^($C$3-2*Q$3-$E32))*($C$8^($E32+Q$3)),0)</f>
        <v>0</v>
      </c>
      <c r="R32" s="5">
        <f>IF(NOT(ISERR(FACT($C$3)/(FACT(R$3)*FACT($C$3-2*R$3-$E32)*FACT($E32+R$3))*($C$10^R$3)*($C$9^($C$3-2*R$3-$E32))*($C$8^($E32+R$3)))),FACT($C$3)/(FACT(R$3)*FACT($C$3-2*R$3-$E32)*FACT($E32+R$3))*($C$10^R$3)*($C$9^($C$3-2*R$3-$E32))*($C$8^($E32+R$3)),0)</f>
        <v>0</v>
      </c>
      <c r="S32" s="5">
        <f>IF(NOT(ISERR(FACT($C$3)/(FACT(S$3)*FACT($C$3-2*S$3-$E32)*FACT($E32+S$3))*($C$10^S$3)*($C$9^($C$3-2*S$3-$E32))*($C$8^($E32+S$3)))),FACT($C$3)/(FACT(S$3)*FACT($C$3-2*S$3-$E32)*FACT($E32+S$3))*($C$10^S$3)*($C$9^($C$3-2*S$3-$E32))*($C$8^($E32+S$3)),0)</f>
        <v>0</v>
      </c>
      <c r="T32" s="5">
        <f>IF(NOT(ISERR(FACT($C$3)/(FACT(T$3)*FACT($C$3-2*T$3-$E32)*FACT($E32+T$3))*($C$10^T$3)*($C$9^($C$3-2*T$3-$E32))*($C$8^($E32+T$3)))),FACT($C$3)/(FACT(T$3)*FACT($C$3-2*T$3-$E32)*FACT($E32+T$3))*($C$10^T$3)*($C$9^($C$3-2*T$3-$E32))*($C$8^($E32+T$3)),0)</f>
        <v>0</v>
      </c>
      <c r="U32" s="5">
        <f>IF(NOT(ISERR(FACT($C$3)/(FACT(U$3)*FACT($C$3-2*U$3-$E32)*FACT($E32+U$3))*($C$10^U$3)*($C$9^($C$3-2*U$3-$E32))*($C$8^($E32+U$3)))),FACT($C$3)/(FACT(U$3)*FACT($C$3-2*U$3-$E32)*FACT($E32+U$3))*($C$10^U$3)*($C$9^($C$3-2*U$3-$E32))*($C$8^($E32+U$3)),0)</f>
        <v>0</v>
      </c>
      <c r="V32" s="5">
        <f>IF(NOT(ISERR(FACT($C$3)/(FACT(V$3)*FACT($C$3-2*V$3-$E32)*FACT($E32+V$3))*($C$10^V$3)*($C$9^($C$3-2*V$3-$E32))*($C$8^($E32+V$3)))),FACT($C$3)/(FACT(V$3)*FACT($C$3-2*V$3-$E32)*FACT($E32+V$3))*($C$10^V$3)*($C$9^($C$3-2*V$3-$E32))*($C$8^($E32+V$3)),0)</f>
        <v>0</v>
      </c>
      <c r="W32" s="5">
        <f>IF(NOT(ISERR(FACT($C$3)/(FACT(W$3)*FACT($C$3-2*W$3-$E32)*FACT($E32+W$3))*($C$10^W$3)*($C$9^($C$3-2*W$3-$E32))*($C$8^($E32+W$3)))),FACT($C$3)/(FACT(W$3)*FACT($C$3-2*W$3-$E32)*FACT($E32+W$3))*($C$10^W$3)*($C$9^($C$3-2*W$3-$E32))*($C$8^($E32+W$3)),0)</f>
        <v>0</v>
      </c>
    </row>
    <row r="33" spans="5:23" x14ac:dyDescent="0.25">
      <c r="E33" s="4">
        <f t="shared" si="5"/>
        <v>21</v>
      </c>
      <c r="F33" s="6">
        <f t="shared" si="6"/>
        <v>0</v>
      </c>
      <c r="G33" s="1"/>
      <c r="H33" s="5">
        <f>IF(NOT(ISERR(FACT($C$3)/(FACT(H$3)*FACT($C$3-2*H$3-$E33)*FACT($E33+H$3))*($C$10^H$3)*($C$9^($C$3-2*H$3-$E33))*($C$8^($E33+H$3)))),FACT($C$3)/(FACT(H$3)*FACT($C$3-2*H$3-$E33)*FACT($E33+H$3))*($C$10^H$3)*($C$9^($C$3-2*H$3-$E33))*($C$8^($E33+H$3)),0)</f>
        <v>0</v>
      </c>
      <c r="I33" s="5">
        <f>IF(NOT(ISERR(FACT($C$3)/(FACT(I$3)*FACT($C$3-2*I$3-$E33)*FACT($E33+I$3))*($C$10^I$3)*($C$9^($C$3-2*I$3-$E33))*($C$8^($E33+I$3)))),FACT($C$3)/(FACT(I$3)*FACT($C$3-2*I$3-$E33)*FACT($E33+I$3))*($C$10^I$3)*($C$9^($C$3-2*I$3-$E33))*($C$8^($E33+I$3)),0)</f>
        <v>0</v>
      </c>
      <c r="J33" s="5">
        <f>IF(NOT(ISERR(FACT($C$3)/(FACT(J$3)*FACT($C$3-2*J$3-$E33)*FACT($E33+J$3))*($C$10^J$3)*($C$9^($C$3-2*J$3-$E33))*($C$8^($E33+J$3)))),FACT($C$3)/(FACT(J$3)*FACT($C$3-2*J$3-$E33)*FACT($E33+J$3))*($C$10^J$3)*($C$9^($C$3-2*J$3-$E33))*($C$8^($E33+J$3)),0)</f>
        <v>0</v>
      </c>
      <c r="K33" s="5">
        <f>IF(NOT(ISERR(FACT($C$3)/(FACT(K$3)*FACT($C$3-2*K$3-$E33)*FACT($E33+K$3))*($C$10^K$3)*($C$9^($C$3-2*K$3-$E33))*($C$8^($E33+K$3)))),FACT($C$3)/(FACT(K$3)*FACT($C$3-2*K$3-$E33)*FACT($E33+K$3))*($C$10^K$3)*($C$9^($C$3-2*K$3-$E33))*($C$8^($E33+K$3)),0)</f>
        <v>0</v>
      </c>
      <c r="L33" s="5">
        <f>IF(NOT(ISERR(FACT($C$3)/(FACT(L$3)*FACT($C$3-2*L$3-$E33)*FACT($E33+L$3))*($C$10^L$3)*($C$9^($C$3-2*L$3-$E33))*($C$8^($E33+L$3)))),FACT($C$3)/(FACT(L$3)*FACT($C$3-2*L$3-$E33)*FACT($E33+L$3))*($C$10^L$3)*($C$9^($C$3-2*L$3-$E33))*($C$8^($E33+L$3)),0)</f>
        <v>0</v>
      </c>
      <c r="M33" s="5">
        <f>IF(NOT(ISERR(FACT($C$3)/(FACT(M$3)*FACT($C$3-2*M$3-$E33)*FACT($E33+M$3))*($C$10^M$3)*($C$9^($C$3-2*M$3-$E33))*($C$8^($E33+M$3)))),FACT($C$3)/(FACT(M$3)*FACT($C$3-2*M$3-$E33)*FACT($E33+M$3))*($C$10^M$3)*($C$9^($C$3-2*M$3-$E33))*($C$8^($E33+M$3)),0)</f>
        <v>0</v>
      </c>
      <c r="N33" s="5">
        <f>IF(NOT(ISERR(FACT($C$3)/(FACT(N$3)*FACT($C$3-2*N$3-$E33)*FACT($E33+N$3))*($C$10^N$3)*($C$9^($C$3-2*N$3-$E33))*($C$8^($E33+N$3)))),FACT($C$3)/(FACT(N$3)*FACT($C$3-2*N$3-$E33)*FACT($E33+N$3))*($C$10^N$3)*($C$9^($C$3-2*N$3-$E33))*($C$8^($E33+N$3)),0)</f>
        <v>0</v>
      </c>
      <c r="O33" s="5">
        <f>IF(NOT(ISERR(FACT($C$3)/(FACT(O$3)*FACT($C$3-2*O$3-$E33)*FACT($E33+O$3))*($C$10^O$3)*($C$9^($C$3-2*O$3-$E33))*($C$8^($E33+O$3)))),FACT($C$3)/(FACT(O$3)*FACT($C$3-2*O$3-$E33)*FACT($E33+O$3))*($C$10^O$3)*($C$9^($C$3-2*O$3-$E33))*($C$8^($E33+O$3)),0)</f>
        <v>0</v>
      </c>
      <c r="P33" s="5">
        <f>IF(NOT(ISERR(FACT($C$3)/(FACT(P$3)*FACT($C$3-2*P$3-$E33)*FACT($E33+P$3))*($C$10^P$3)*($C$9^($C$3-2*P$3-$E33))*($C$8^($E33+P$3)))),FACT($C$3)/(FACT(P$3)*FACT($C$3-2*P$3-$E33)*FACT($E33+P$3))*($C$10^P$3)*($C$9^($C$3-2*P$3-$E33))*($C$8^($E33+P$3)),0)</f>
        <v>0</v>
      </c>
      <c r="Q33" s="5">
        <f>IF(NOT(ISERR(FACT($C$3)/(FACT(Q$3)*FACT($C$3-2*Q$3-$E33)*FACT($E33+Q$3))*($C$10^Q$3)*($C$9^($C$3-2*Q$3-$E33))*($C$8^($E33+Q$3)))),FACT($C$3)/(FACT(Q$3)*FACT($C$3-2*Q$3-$E33)*FACT($E33+Q$3))*($C$10^Q$3)*($C$9^($C$3-2*Q$3-$E33))*($C$8^($E33+Q$3)),0)</f>
        <v>0</v>
      </c>
      <c r="R33" s="5">
        <f>IF(NOT(ISERR(FACT($C$3)/(FACT(R$3)*FACT($C$3-2*R$3-$E33)*FACT($E33+R$3))*($C$10^R$3)*($C$9^($C$3-2*R$3-$E33))*($C$8^($E33+R$3)))),FACT($C$3)/(FACT(R$3)*FACT($C$3-2*R$3-$E33)*FACT($E33+R$3))*($C$10^R$3)*($C$9^($C$3-2*R$3-$E33))*($C$8^($E33+R$3)),0)</f>
        <v>0</v>
      </c>
      <c r="S33" s="5">
        <f>IF(NOT(ISERR(FACT($C$3)/(FACT(S$3)*FACT($C$3-2*S$3-$E33)*FACT($E33+S$3))*($C$10^S$3)*($C$9^($C$3-2*S$3-$E33))*($C$8^($E33+S$3)))),FACT($C$3)/(FACT(S$3)*FACT($C$3-2*S$3-$E33)*FACT($E33+S$3))*($C$10^S$3)*($C$9^($C$3-2*S$3-$E33))*($C$8^($E33+S$3)),0)</f>
        <v>0</v>
      </c>
      <c r="T33" s="5">
        <f>IF(NOT(ISERR(FACT($C$3)/(FACT(T$3)*FACT($C$3-2*T$3-$E33)*FACT($E33+T$3))*($C$10^T$3)*($C$9^($C$3-2*T$3-$E33))*($C$8^($E33+T$3)))),FACT($C$3)/(FACT(T$3)*FACT($C$3-2*T$3-$E33)*FACT($E33+T$3))*($C$10^T$3)*($C$9^($C$3-2*T$3-$E33))*($C$8^($E33+T$3)),0)</f>
        <v>0</v>
      </c>
      <c r="U33" s="5">
        <f>IF(NOT(ISERR(FACT($C$3)/(FACT(U$3)*FACT($C$3-2*U$3-$E33)*FACT($E33+U$3))*($C$10^U$3)*($C$9^($C$3-2*U$3-$E33))*($C$8^($E33+U$3)))),FACT($C$3)/(FACT(U$3)*FACT($C$3-2*U$3-$E33)*FACT($E33+U$3))*($C$10^U$3)*($C$9^($C$3-2*U$3-$E33))*($C$8^($E33+U$3)),0)</f>
        <v>0</v>
      </c>
      <c r="V33" s="5">
        <f>IF(NOT(ISERR(FACT($C$3)/(FACT(V$3)*FACT($C$3-2*V$3-$E33)*FACT($E33+V$3))*($C$10^V$3)*($C$9^($C$3-2*V$3-$E33))*($C$8^($E33+V$3)))),FACT($C$3)/(FACT(V$3)*FACT($C$3-2*V$3-$E33)*FACT($E33+V$3))*($C$10^V$3)*($C$9^($C$3-2*V$3-$E33))*($C$8^($E33+V$3)),0)</f>
        <v>0</v>
      </c>
      <c r="W33" s="5">
        <f>IF(NOT(ISERR(FACT($C$3)/(FACT(W$3)*FACT($C$3-2*W$3-$E33)*FACT($E33+W$3))*($C$10^W$3)*($C$9^($C$3-2*W$3-$E33))*($C$8^($E33+W$3)))),FACT($C$3)/(FACT(W$3)*FACT($C$3-2*W$3-$E33)*FACT($E33+W$3))*($C$10^W$3)*($C$9^($C$3-2*W$3-$E33))*($C$8^($E33+W$3)),0)</f>
        <v>0</v>
      </c>
    </row>
    <row r="34" spans="5:23" x14ac:dyDescent="0.25">
      <c r="E34" s="4">
        <f t="shared" si="5"/>
        <v>22</v>
      </c>
      <c r="F34" s="6">
        <f t="shared" si="6"/>
        <v>0</v>
      </c>
      <c r="G34" s="1"/>
      <c r="H34" s="5">
        <f>IF(NOT(ISERR(FACT($C$3)/(FACT(H$3)*FACT($C$3-2*H$3-$E34)*FACT($E34+H$3))*($C$10^H$3)*($C$9^($C$3-2*H$3-$E34))*($C$8^($E34+H$3)))),FACT($C$3)/(FACT(H$3)*FACT($C$3-2*H$3-$E34)*FACT($E34+H$3))*($C$10^H$3)*($C$9^($C$3-2*H$3-$E34))*($C$8^($E34+H$3)),0)</f>
        <v>0</v>
      </c>
      <c r="I34" s="5">
        <f>IF(NOT(ISERR(FACT($C$3)/(FACT(I$3)*FACT($C$3-2*I$3-$E34)*FACT($E34+I$3))*($C$10^I$3)*($C$9^($C$3-2*I$3-$E34))*($C$8^($E34+I$3)))),FACT($C$3)/(FACT(I$3)*FACT($C$3-2*I$3-$E34)*FACT($E34+I$3))*($C$10^I$3)*($C$9^($C$3-2*I$3-$E34))*($C$8^($E34+I$3)),0)</f>
        <v>0</v>
      </c>
      <c r="J34" s="5">
        <f>IF(NOT(ISERR(FACT($C$3)/(FACT(J$3)*FACT($C$3-2*J$3-$E34)*FACT($E34+J$3))*($C$10^J$3)*($C$9^($C$3-2*J$3-$E34))*($C$8^($E34+J$3)))),FACT($C$3)/(FACT(J$3)*FACT($C$3-2*J$3-$E34)*FACT($E34+J$3))*($C$10^J$3)*($C$9^($C$3-2*J$3-$E34))*($C$8^($E34+J$3)),0)</f>
        <v>0</v>
      </c>
      <c r="K34" s="5">
        <f>IF(NOT(ISERR(FACT($C$3)/(FACT(K$3)*FACT($C$3-2*K$3-$E34)*FACT($E34+K$3))*($C$10^K$3)*($C$9^($C$3-2*K$3-$E34))*($C$8^($E34+K$3)))),FACT($C$3)/(FACT(K$3)*FACT($C$3-2*K$3-$E34)*FACT($E34+K$3))*($C$10^K$3)*($C$9^($C$3-2*K$3-$E34))*($C$8^($E34+K$3)),0)</f>
        <v>0</v>
      </c>
      <c r="L34" s="5">
        <f>IF(NOT(ISERR(FACT($C$3)/(FACT(L$3)*FACT($C$3-2*L$3-$E34)*FACT($E34+L$3))*($C$10^L$3)*($C$9^($C$3-2*L$3-$E34))*($C$8^($E34+L$3)))),FACT($C$3)/(FACT(L$3)*FACT($C$3-2*L$3-$E34)*FACT($E34+L$3))*($C$10^L$3)*($C$9^($C$3-2*L$3-$E34))*($C$8^($E34+L$3)),0)</f>
        <v>0</v>
      </c>
      <c r="M34" s="5">
        <f>IF(NOT(ISERR(FACT($C$3)/(FACT(M$3)*FACT($C$3-2*M$3-$E34)*FACT($E34+M$3))*($C$10^M$3)*($C$9^($C$3-2*M$3-$E34))*($C$8^($E34+M$3)))),FACT($C$3)/(FACT(M$3)*FACT($C$3-2*M$3-$E34)*FACT($E34+M$3))*($C$10^M$3)*($C$9^($C$3-2*M$3-$E34))*($C$8^($E34+M$3)),0)</f>
        <v>0</v>
      </c>
      <c r="N34" s="5">
        <f>IF(NOT(ISERR(FACT($C$3)/(FACT(N$3)*FACT($C$3-2*N$3-$E34)*FACT($E34+N$3))*($C$10^N$3)*($C$9^($C$3-2*N$3-$E34))*($C$8^($E34+N$3)))),FACT($C$3)/(FACT(N$3)*FACT($C$3-2*N$3-$E34)*FACT($E34+N$3))*($C$10^N$3)*($C$9^($C$3-2*N$3-$E34))*($C$8^($E34+N$3)),0)</f>
        <v>0</v>
      </c>
      <c r="O34" s="5">
        <f>IF(NOT(ISERR(FACT($C$3)/(FACT(O$3)*FACT($C$3-2*O$3-$E34)*FACT($E34+O$3))*($C$10^O$3)*($C$9^($C$3-2*O$3-$E34))*($C$8^($E34+O$3)))),FACT($C$3)/(FACT(O$3)*FACT($C$3-2*O$3-$E34)*FACT($E34+O$3))*($C$10^O$3)*($C$9^($C$3-2*O$3-$E34))*($C$8^($E34+O$3)),0)</f>
        <v>0</v>
      </c>
      <c r="P34" s="5">
        <f>IF(NOT(ISERR(FACT($C$3)/(FACT(P$3)*FACT($C$3-2*P$3-$E34)*FACT($E34+P$3))*($C$10^P$3)*($C$9^($C$3-2*P$3-$E34))*($C$8^($E34+P$3)))),FACT($C$3)/(FACT(P$3)*FACT($C$3-2*P$3-$E34)*FACT($E34+P$3))*($C$10^P$3)*($C$9^($C$3-2*P$3-$E34))*($C$8^($E34+P$3)),0)</f>
        <v>0</v>
      </c>
      <c r="Q34" s="5">
        <f>IF(NOT(ISERR(FACT($C$3)/(FACT(Q$3)*FACT($C$3-2*Q$3-$E34)*FACT($E34+Q$3))*($C$10^Q$3)*($C$9^($C$3-2*Q$3-$E34))*($C$8^($E34+Q$3)))),FACT($C$3)/(FACT(Q$3)*FACT($C$3-2*Q$3-$E34)*FACT($E34+Q$3))*($C$10^Q$3)*($C$9^($C$3-2*Q$3-$E34))*($C$8^($E34+Q$3)),0)</f>
        <v>0</v>
      </c>
      <c r="R34" s="5">
        <f>IF(NOT(ISERR(FACT($C$3)/(FACT(R$3)*FACT($C$3-2*R$3-$E34)*FACT($E34+R$3))*($C$10^R$3)*($C$9^($C$3-2*R$3-$E34))*($C$8^($E34+R$3)))),FACT($C$3)/(FACT(R$3)*FACT($C$3-2*R$3-$E34)*FACT($E34+R$3))*($C$10^R$3)*($C$9^($C$3-2*R$3-$E34))*($C$8^($E34+R$3)),0)</f>
        <v>0</v>
      </c>
      <c r="S34" s="5">
        <f>IF(NOT(ISERR(FACT($C$3)/(FACT(S$3)*FACT($C$3-2*S$3-$E34)*FACT($E34+S$3))*($C$10^S$3)*($C$9^($C$3-2*S$3-$E34))*($C$8^($E34+S$3)))),FACT($C$3)/(FACT(S$3)*FACT($C$3-2*S$3-$E34)*FACT($E34+S$3))*($C$10^S$3)*($C$9^($C$3-2*S$3-$E34))*($C$8^($E34+S$3)),0)</f>
        <v>0</v>
      </c>
      <c r="T34" s="5">
        <f>IF(NOT(ISERR(FACT($C$3)/(FACT(T$3)*FACT($C$3-2*T$3-$E34)*FACT($E34+T$3))*($C$10^T$3)*($C$9^($C$3-2*T$3-$E34))*($C$8^($E34+T$3)))),FACT($C$3)/(FACT(T$3)*FACT($C$3-2*T$3-$E34)*FACT($E34+T$3))*($C$10^T$3)*($C$9^($C$3-2*T$3-$E34))*($C$8^($E34+T$3)),0)</f>
        <v>0</v>
      </c>
      <c r="U34" s="5">
        <f>IF(NOT(ISERR(FACT($C$3)/(FACT(U$3)*FACT($C$3-2*U$3-$E34)*FACT($E34+U$3))*($C$10^U$3)*($C$9^($C$3-2*U$3-$E34))*($C$8^($E34+U$3)))),FACT($C$3)/(FACT(U$3)*FACT($C$3-2*U$3-$E34)*FACT($E34+U$3))*($C$10^U$3)*($C$9^($C$3-2*U$3-$E34))*($C$8^($E34+U$3)),0)</f>
        <v>0</v>
      </c>
      <c r="V34" s="5">
        <f>IF(NOT(ISERR(FACT($C$3)/(FACT(V$3)*FACT($C$3-2*V$3-$E34)*FACT($E34+V$3))*($C$10^V$3)*($C$9^($C$3-2*V$3-$E34))*($C$8^($E34+V$3)))),FACT($C$3)/(FACT(V$3)*FACT($C$3-2*V$3-$E34)*FACT($E34+V$3))*($C$10^V$3)*($C$9^($C$3-2*V$3-$E34))*($C$8^($E34+V$3)),0)</f>
        <v>0</v>
      </c>
      <c r="W34" s="5">
        <f>IF(NOT(ISERR(FACT($C$3)/(FACT(W$3)*FACT($C$3-2*W$3-$E34)*FACT($E34+W$3))*($C$10^W$3)*($C$9^($C$3-2*W$3-$E34))*($C$8^($E34+W$3)))),FACT($C$3)/(FACT(W$3)*FACT($C$3-2*W$3-$E34)*FACT($E34+W$3))*($C$10^W$3)*($C$9^($C$3-2*W$3-$E34))*($C$8^($E34+W$3)),0)</f>
        <v>0</v>
      </c>
    </row>
    <row r="36" spans="5:23" x14ac:dyDescent="0.25">
      <c r="E36" s="4" t="s">
        <v>10</v>
      </c>
      <c r="F36" s="5">
        <f>SUM(F4:F34)</f>
        <v>1.0000000000000004</v>
      </c>
      <c r="G36" s="1"/>
    </row>
  </sheetData>
  <mergeCells count="1">
    <mergeCell ref="H2:W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un jet</vt:lpstr>
      <vt:lpstr>simplification binomiale</vt:lpstr>
      <vt:lpstr>Multinomiale sans spécialités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GIRON (X181880)</dc:creator>
  <cp:lastModifiedBy>BRUNO GIRON (X181880)</cp:lastModifiedBy>
  <dcterms:created xsi:type="dcterms:W3CDTF">2019-05-06T12:21:53Z</dcterms:created>
  <dcterms:modified xsi:type="dcterms:W3CDTF">2019-05-07T15:24:44Z</dcterms:modified>
</cp:coreProperties>
</file>